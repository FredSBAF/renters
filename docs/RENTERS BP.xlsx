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kira/Documents/10 - Code/renters/docs/"/>
    </mc:Choice>
  </mc:AlternateContent>
  <xr:revisionPtr revIDLastSave="0" documentId="13_ncr:1_{642FE225-E155-224E-9D7B-43658D888267}" xr6:coauthVersionLast="47" xr6:coauthVersionMax="47" xr10:uidLastSave="{00000000-0000-0000-0000-000000000000}"/>
  <bookViews>
    <workbookView xWindow="9280" yWindow="-18000" windowWidth="32000" windowHeight="18000" tabRatio="500" xr2:uid="{00000000-000D-0000-FFFF-FFFF00000000}"/>
  </bookViews>
  <sheets>
    <sheet name="Hypothèses" sheetId="1" r:id="rId1"/>
    <sheet name="Projections Mensuelles" sheetId="2" r:id="rId2"/>
    <sheet name="Synthèse Annuelle" sheetId="3" r:id="rId3"/>
    <sheet name="Scénarios" sheetId="4" r:id="rId4"/>
    <sheet name="Unit Economic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" i="5" l="1"/>
  <c r="B14" i="5"/>
  <c r="B13" i="5"/>
  <c r="B12" i="5"/>
  <c r="B8" i="5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C24" i="2"/>
  <c r="B24" i="2"/>
  <c r="C23" i="2"/>
  <c r="D23" i="2" s="1"/>
  <c r="B23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J16" i="2"/>
  <c r="AI16" i="2"/>
  <c r="AH16" i="2"/>
  <c r="AE16" i="2"/>
  <c r="AD16" i="2"/>
  <c r="AB16" i="2"/>
  <c r="AA16" i="2"/>
  <c r="Z16" i="2"/>
  <c r="W16" i="2"/>
  <c r="V16" i="2"/>
  <c r="T16" i="2"/>
  <c r="S16" i="2"/>
  <c r="R16" i="2"/>
  <c r="O16" i="2"/>
  <c r="N16" i="2"/>
  <c r="L16" i="2"/>
  <c r="K16" i="2"/>
  <c r="J16" i="2"/>
  <c r="G16" i="2"/>
  <c r="F16" i="2"/>
  <c r="D16" i="2"/>
  <c r="C16" i="2"/>
  <c r="B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B5" i="2"/>
  <c r="AK4" i="2"/>
  <c r="AK16" i="2" s="1"/>
  <c r="AJ4" i="2"/>
  <c r="AI4" i="2"/>
  <c r="AH4" i="2"/>
  <c r="AG4" i="2"/>
  <c r="AG16" i="2" s="1"/>
  <c r="AF4" i="2"/>
  <c r="AF16" i="2" s="1"/>
  <c r="AE4" i="2"/>
  <c r="AD4" i="2"/>
  <c r="AC4" i="2"/>
  <c r="AC16" i="2" s="1"/>
  <c r="AB4" i="2"/>
  <c r="AA4" i="2"/>
  <c r="Z4" i="2"/>
  <c r="Y4" i="2"/>
  <c r="Y16" i="2" s="1"/>
  <c r="X4" i="2"/>
  <c r="X16" i="2" s="1"/>
  <c r="W4" i="2"/>
  <c r="V4" i="2"/>
  <c r="U4" i="2"/>
  <c r="U16" i="2" s="1"/>
  <c r="T4" i="2"/>
  <c r="S4" i="2"/>
  <c r="R4" i="2"/>
  <c r="Q4" i="2"/>
  <c r="Q16" i="2" s="1"/>
  <c r="P4" i="2"/>
  <c r="O4" i="2"/>
  <c r="N4" i="2"/>
  <c r="M4" i="2"/>
  <c r="M16" i="2" s="1"/>
  <c r="L4" i="2"/>
  <c r="K4" i="2"/>
  <c r="J4" i="2"/>
  <c r="I4" i="2"/>
  <c r="I16" i="2" s="1"/>
  <c r="H4" i="2"/>
  <c r="H16" i="2" s="1"/>
  <c r="G4" i="2"/>
  <c r="F4" i="2"/>
  <c r="E4" i="2"/>
  <c r="E16" i="2" s="1"/>
  <c r="D4" i="2"/>
  <c r="C4" i="2"/>
  <c r="B4" i="2"/>
  <c r="B37" i="1"/>
  <c r="F10" i="1"/>
  <c r="D9" i="1"/>
  <c r="D8" i="1"/>
  <c r="D7" i="1"/>
  <c r="B14" i="3" l="1"/>
  <c r="D14" i="3"/>
  <c r="C14" i="3"/>
  <c r="B38" i="1"/>
  <c r="B5" i="3"/>
  <c r="C5" i="3"/>
  <c r="P16" i="2"/>
  <c r="D5" i="3"/>
  <c r="E23" i="2"/>
  <c r="D24" i="2"/>
  <c r="B20" i="5"/>
  <c r="AE25" i="2"/>
  <c r="W25" i="2"/>
  <c r="O25" i="2"/>
  <c r="G25" i="2"/>
  <c r="B5" i="5"/>
  <c r="AD25" i="2"/>
  <c r="V25" i="2"/>
  <c r="N25" i="2"/>
  <c r="F25" i="2"/>
  <c r="B18" i="5"/>
  <c r="B4" i="5"/>
  <c r="AK25" i="2"/>
  <c r="AC25" i="2"/>
  <c r="U25" i="2"/>
  <c r="M25" i="2"/>
  <c r="E25" i="2"/>
  <c r="B17" i="5"/>
  <c r="AJ25" i="2"/>
  <c r="AB25" i="2"/>
  <c r="T25" i="2"/>
  <c r="L25" i="2"/>
  <c r="D25" i="2"/>
  <c r="AI25" i="2"/>
  <c r="AA25" i="2"/>
  <c r="S25" i="2"/>
  <c r="K25" i="2"/>
  <c r="C25" i="2"/>
  <c r="AH25" i="2"/>
  <c r="Z25" i="2"/>
  <c r="R25" i="2"/>
  <c r="J25" i="2"/>
  <c r="B25" i="2"/>
  <c r="AG25" i="2"/>
  <c r="Y25" i="2"/>
  <c r="Q25" i="2"/>
  <c r="I25" i="2"/>
  <c r="B9" i="5"/>
  <c r="AF25" i="2"/>
  <c r="X25" i="2"/>
  <c r="P25" i="2"/>
  <c r="H25" i="2"/>
  <c r="B6" i="2"/>
  <c r="B13" i="3" l="1"/>
  <c r="C13" i="3"/>
  <c r="F23" i="2"/>
  <c r="E24" i="2"/>
  <c r="D13" i="3"/>
  <c r="C5" i="2"/>
  <c r="C6" i="2" s="1"/>
  <c r="B14" i="2"/>
  <c r="B18" i="2" s="1"/>
  <c r="B8" i="2"/>
  <c r="C14" i="2" l="1"/>
  <c r="C18" i="2" s="1"/>
  <c r="C8" i="2"/>
  <c r="D5" i="2"/>
  <c r="D6" i="2" s="1"/>
  <c r="B11" i="2"/>
  <c r="B12" i="2" s="1"/>
  <c r="B9" i="2"/>
  <c r="G23" i="2"/>
  <c r="F24" i="2"/>
  <c r="B20" i="2" l="1"/>
  <c r="D14" i="2"/>
  <c r="D18" i="2" s="1"/>
  <c r="E5" i="2"/>
  <c r="E6" i="2" s="1"/>
  <c r="D8" i="2"/>
  <c r="G24" i="2"/>
  <c r="H23" i="2"/>
  <c r="C11" i="2"/>
  <c r="C12" i="2" s="1"/>
  <c r="C9" i="2"/>
  <c r="C20" i="2" l="1"/>
  <c r="E8" i="2"/>
  <c r="F5" i="2"/>
  <c r="F6" i="2" s="1"/>
  <c r="E14" i="2"/>
  <c r="E18" i="2" s="1"/>
  <c r="D9" i="2"/>
  <c r="D11" i="2"/>
  <c r="D12" i="2" s="1"/>
  <c r="H24" i="2"/>
  <c r="I23" i="2"/>
  <c r="B21" i="2"/>
  <c r="D20" i="2" l="1"/>
  <c r="D21" i="2"/>
  <c r="G6" i="2"/>
  <c r="G5" i="2"/>
  <c r="F14" i="2"/>
  <c r="F18" i="2" s="1"/>
  <c r="F8" i="2"/>
  <c r="E11" i="2"/>
  <c r="E12" i="2" s="1"/>
  <c r="E9" i="2"/>
  <c r="C21" i="2"/>
  <c r="I24" i="2"/>
  <c r="J23" i="2"/>
  <c r="E20" i="2" l="1"/>
  <c r="E21" i="2"/>
  <c r="F11" i="2"/>
  <c r="F12" i="2" s="1"/>
  <c r="F9" i="2"/>
  <c r="C17" i="3"/>
  <c r="H5" i="2"/>
  <c r="H6" i="2" s="1"/>
  <c r="G14" i="2"/>
  <c r="G18" i="2" s="1"/>
  <c r="G8" i="2"/>
  <c r="J24" i="2"/>
  <c r="K23" i="2"/>
  <c r="H14" i="2" l="1"/>
  <c r="H18" i="2" s="1"/>
  <c r="H8" i="2"/>
  <c r="I5" i="2"/>
  <c r="I6" i="2" s="1"/>
  <c r="F20" i="2"/>
  <c r="F21" i="2"/>
  <c r="K24" i="2"/>
  <c r="L23" i="2"/>
  <c r="G9" i="2"/>
  <c r="B17" i="3"/>
  <c r="G11" i="2"/>
  <c r="G12" i="2" s="1"/>
  <c r="I14" i="2" l="1"/>
  <c r="I18" i="2" s="1"/>
  <c r="J5" i="2"/>
  <c r="J6" i="2" s="1"/>
  <c r="I8" i="2"/>
  <c r="G20" i="2"/>
  <c r="D17" i="3" s="1"/>
  <c r="H11" i="2"/>
  <c r="H12" i="2" s="1"/>
  <c r="H9" i="2"/>
  <c r="M23" i="2"/>
  <c r="L24" i="2"/>
  <c r="G21" i="2" l="1"/>
  <c r="H20" i="2"/>
  <c r="H21" i="2" s="1"/>
  <c r="K5" i="2"/>
  <c r="K6" i="2" s="1"/>
  <c r="J14" i="2"/>
  <c r="J18" i="2" s="1"/>
  <c r="J8" i="2"/>
  <c r="N23" i="2"/>
  <c r="M24" i="2"/>
  <c r="B12" i="3"/>
  <c r="I9" i="2"/>
  <c r="I11" i="2"/>
  <c r="I12" i="2" s="1"/>
  <c r="K14" i="2" l="1"/>
  <c r="K18" i="2" s="1"/>
  <c r="K8" i="2"/>
  <c r="L5" i="2"/>
  <c r="L6" i="2" s="1"/>
  <c r="I20" i="2"/>
  <c r="I21" i="2" s="1"/>
  <c r="O23" i="2"/>
  <c r="N24" i="2"/>
  <c r="J11" i="2"/>
  <c r="J12" i="2"/>
  <c r="J9" i="2"/>
  <c r="M5" i="2" l="1"/>
  <c r="L14" i="2"/>
  <c r="L18" i="2" s="1"/>
  <c r="L8" i="2"/>
  <c r="M6" i="2"/>
  <c r="O24" i="2"/>
  <c r="P23" i="2"/>
  <c r="J20" i="2"/>
  <c r="J21" i="2" s="1"/>
  <c r="K11" i="2"/>
  <c r="K12" i="2" s="1"/>
  <c r="K9" i="2"/>
  <c r="P24" i="2" l="1"/>
  <c r="Q23" i="2"/>
  <c r="C18" i="3"/>
  <c r="M14" i="2"/>
  <c r="M18" i="2" s="1"/>
  <c r="B9" i="3" s="1"/>
  <c r="N5" i="2"/>
  <c r="N6" i="2" s="1"/>
  <c r="M8" i="2"/>
  <c r="B4" i="3"/>
  <c r="L9" i="2"/>
  <c r="L11" i="2"/>
  <c r="L12" i="2" s="1"/>
  <c r="K20" i="2"/>
  <c r="K21" i="2" s="1"/>
  <c r="O5" i="2" l="1"/>
  <c r="O6" i="2" s="1"/>
  <c r="N14" i="2"/>
  <c r="N18" i="2" s="1"/>
  <c r="N8" i="2"/>
  <c r="L20" i="2"/>
  <c r="L21" i="2" s="1"/>
  <c r="B18" i="3"/>
  <c r="M11" i="2"/>
  <c r="M12" i="2" s="1"/>
  <c r="M9" i="2"/>
  <c r="B7" i="3" s="1"/>
  <c r="B6" i="3"/>
  <c r="Q24" i="2"/>
  <c r="R23" i="2"/>
  <c r="P5" i="2" l="1"/>
  <c r="O14" i="2"/>
  <c r="O18" i="2" s="1"/>
  <c r="O8" i="2"/>
  <c r="P6" i="2"/>
  <c r="R24" i="2"/>
  <c r="S23" i="2"/>
  <c r="N11" i="2"/>
  <c r="N12" i="2" s="1"/>
  <c r="N9" i="2"/>
  <c r="M20" i="2"/>
  <c r="B8" i="3"/>
  <c r="N20" i="2" l="1"/>
  <c r="N21" i="2"/>
  <c r="D18" i="3"/>
  <c r="B10" i="3"/>
  <c r="B11" i="3" s="1"/>
  <c r="S24" i="2"/>
  <c r="T23" i="2"/>
  <c r="M21" i="2"/>
  <c r="P14" i="2"/>
  <c r="P18" i="2" s="1"/>
  <c r="P8" i="2"/>
  <c r="Q5" i="2"/>
  <c r="Q6" i="2" s="1"/>
  <c r="O9" i="2"/>
  <c r="O11" i="2"/>
  <c r="O12" i="2" s="1"/>
  <c r="Q14" i="2" l="1"/>
  <c r="Q18" i="2" s="1"/>
  <c r="Q8" i="2"/>
  <c r="R5" i="2"/>
  <c r="R6" i="2" s="1"/>
  <c r="O20" i="2"/>
  <c r="O21" i="2" s="1"/>
  <c r="U23" i="2"/>
  <c r="T24" i="2"/>
  <c r="P11" i="2"/>
  <c r="P12" i="2" s="1"/>
  <c r="P9" i="2"/>
  <c r="S5" i="2" l="1"/>
  <c r="R14" i="2"/>
  <c r="R18" i="2" s="1"/>
  <c r="S6" i="2"/>
  <c r="R8" i="2"/>
  <c r="Q9" i="2"/>
  <c r="Q11" i="2"/>
  <c r="Q12" i="2" s="1"/>
  <c r="P20" i="2"/>
  <c r="V23" i="2"/>
  <c r="U24" i="2"/>
  <c r="R11" i="2" l="1"/>
  <c r="R12" i="2"/>
  <c r="R9" i="2"/>
  <c r="W23" i="2"/>
  <c r="V24" i="2"/>
  <c r="S14" i="2"/>
  <c r="S18" i="2" s="1"/>
  <c r="S8" i="2"/>
  <c r="C19" i="3"/>
  <c r="T5" i="2"/>
  <c r="T6" i="2" s="1"/>
  <c r="Q20" i="2"/>
  <c r="Q21" i="2" s="1"/>
  <c r="P21" i="2"/>
  <c r="U5" i="2" l="1"/>
  <c r="T14" i="2"/>
  <c r="T18" i="2" s="1"/>
  <c r="T8" i="2"/>
  <c r="U6" i="2"/>
  <c r="S11" i="2"/>
  <c r="S12" i="2" s="1"/>
  <c r="S9" i="2"/>
  <c r="B19" i="3"/>
  <c r="R20" i="2"/>
  <c r="R21" i="2" s="1"/>
  <c r="W24" i="2"/>
  <c r="X23" i="2"/>
  <c r="U14" i="2" l="1"/>
  <c r="U18" i="2" s="1"/>
  <c r="U8" i="2"/>
  <c r="V5" i="2"/>
  <c r="V6" i="2"/>
  <c r="T9" i="2"/>
  <c r="T11" i="2"/>
  <c r="T12" i="2" s="1"/>
  <c r="S20" i="2"/>
  <c r="D19" i="3" s="1"/>
  <c r="X24" i="2"/>
  <c r="Y23" i="2"/>
  <c r="S21" i="2" l="1"/>
  <c r="T20" i="2"/>
  <c r="T21" i="2" s="1"/>
  <c r="W5" i="2"/>
  <c r="W6" i="2" s="1"/>
  <c r="V14" i="2"/>
  <c r="V18" i="2" s="1"/>
  <c r="V8" i="2"/>
  <c r="Y24" i="2"/>
  <c r="Z23" i="2"/>
  <c r="C12" i="3"/>
  <c r="U11" i="2"/>
  <c r="U12" i="2" s="1"/>
  <c r="U9" i="2"/>
  <c r="U20" i="2" l="1"/>
  <c r="U21" i="2"/>
  <c r="X5" i="2"/>
  <c r="W14" i="2"/>
  <c r="W18" i="2" s="1"/>
  <c r="W8" i="2"/>
  <c r="X6" i="2"/>
  <c r="Z24" i="2"/>
  <c r="AA23" i="2"/>
  <c r="V9" i="2"/>
  <c r="V11" i="2"/>
  <c r="V12" i="2" s="1"/>
  <c r="V20" i="2" l="1"/>
  <c r="V21" i="2" s="1"/>
  <c r="W9" i="2"/>
  <c r="W11" i="2"/>
  <c r="W12" i="2" s="1"/>
  <c r="X14" i="2"/>
  <c r="X18" i="2" s="1"/>
  <c r="X8" i="2"/>
  <c r="Y6" i="2"/>
  <c r="Y5" i="2"/>
  <c r="AA24" i="2"/>
  <c r="AB23" i="2"/>
  <c r="C20" i="3" l="1"/>
  <c r="Y14" i="2"/>
  <c r="Y18" i="2" s="1"/>
  <c r="C9" i="3" s="1"/>
  <c r="Y8" i="2"/>
  <c r="Z5" i="2"/>
  <c r="Z6" i="2" s="1"/>
  <c r="C4" i="3"/>
  <c r="X11" i="2"/>
  <c r="X12" i="2" s="1"/>
  <c r="X9" i="2"/>
  <c r="W20" i="2"/>
  <c r="W21" i="2" s="1"/>
  <c r="AC23" i="2"/>
  <c r="AB24" i="2"/>
  <c r="AA5" i="2" l="1"/>
  <c r="Z14" i="2"/>
  <c r="Z18" i="2" s="1"/>
  <c r="AA6" i="2"/>
  <c r="Z8" i="2"/>
  <c r="X20" i="2"/>
  <c r="X21" i="2" s="1"/>
  <c r="AD23" i="2"/>
  <c r="AC24" i="2"/>
  <c r="B20" i="3"/>
  <c r="Y9" i="2"/>
  <c r="C7" i="3" s="1"/>
  <c r="Y11" i="2"/>
  <c r="Y12" i="2" s="1"/>
  <c r="C6" i="3"/>
  <c r="Y20" i="2" l="1"/>
  <c r="C8" i="3"/>
  <c r="AA14" i="2"/>
  <c r="AA18" i="2" s="1"/>
  <c r="AA8" i="2"/>
  <c r="AB5" i="2"/>
  <c r="AB6" i="2" s="1"/>
  <c r="AE23" i="2"/>
  <c r="AD24" i="2"/>
  <c r="Z11" i="2"/>
  <c r="Z12" i="2" s="1"/>
  <c r="Z9" i="2"/>
  <c r="AC5" i="2" l="1"/>
  <c r="AB14" i="2"/>
  <c r="AB18" i="2" s="1"/>
  <c r="AC6" i="2"/>
  <c r="AB8" i="2"/>
  <c r="Z20" i="2"/>
  <c r="Z21" i="2" s="1"/>
  <c r="D20" i="3"/>
  <c r="C10" i="3"/>
  <c r="C11" i="3" s="1"/>
  <c r="AA11" i="2"/>
  <c r="AA12" i="2" s="1"/>
  <c r="AA9" i="2"/>
  <c r="AE24" i="2"/>
  <c r="AF23" i="2"/>
  <c r="Y21" i="2"/>
  <c r="AB9" i="2" l="1"/>
  <c r="AB11" i="2"/>
  <c r="AB12" i="2" s="1"/>
  <c r="AC14" i="2"/>
  <c r="AC18" i="2" s="1"/>
  <c r="AC8" i="2"/>
  <c r="AD5" i="2"/>
  <c r="AD6" i="2"/>
  <c r="AA20" i="2"/>
  <c r="AA21" i="2" s="1"/>
  <c r="AF24" i="2"/>
  <c r="AG23" i="2"/>
  <c r="AB20" i="2" l="1"/>
  <c r="AB21" i="2"/>
  <c r="AG24" i="2"/>
  <c r="AH23" i="2"/>
  <c r="AC11" i="2"/>
  <c r="AC12" i="2" s="1"/>
  <c r="AC9" i="2"/>
  <c r="AE5" i="2"/>
  <c r="AE6" i="2" s="1"/>
  <c r="AD14" i="2"/>
  <c r="AD18" i="2" s="1"/>
  <c r="AD8" i="2"/>
  <c r="AF5" i="2" l="1"/>
  <c r="AE14" i="2"/>
  <c r="AE18" i="2" s="1"/>
  <c r="AE8" i="2"/>
  <c r="C21" i="3"/>
  <c r="AF6" i="2"/>
  <c r="AH24" i="2"/>
  <c r="AI23" i="2"/>
  <c r="AD9" i="2"/>
  <c r="AD11" i="2"/>
  <c r="AD12" i="2" s="1"/>
  <c r="AC20" i="2"/>
  <c r="AC21" i="2" s="1"/>
  <c r="AD20" i="2" l="1"/>
  <c r="AD21" i="2" s="1"/>
  <c r="AF14" i="2"/>
  <c r="AF18" i="2" s="1"/>
  <c r="AF8" i="2"/>
  <c r="AG5" i="2"/>
  <c r="AG6" i="2" s="1"/>
  <c r="B21" i="3"/>
  <c r="AE9" i="2"/>
  <c r="AE11" i="2"/>
  <c r="AE12" i="2" s="1"/>
  <c r="AI24" i="2"/>
  <c r="AJ23" i="2"/>
  <c r="AE20" i="2" l="1"/>
  <c r="D21" i="3" s="1"/>
  <c r="AE21" i="2"/>
  <c r="AG14" i="2"/>
  <c r="AG18" i="2" s="1"/>
  <c r="AG8" i="2"/>
  <c r="AH5" i="2"/>
  <c r="AH6" i="2" s="1"/>
  <c r="AK23" i="2"/>
  <c r="AJ24" i="2"/>
  <c r="AF11" i="2"/>
  <c r="AF12" i="2" s="1"/>
  <c r="AF9" i="2"/>
  <c r="AI5" i="2" l="1"/>
  <c r="AH14" i="2"/>
  <c r="AH18" i="2" s="1"/>
  <c r="AI6" i="2"/>
  <c r="AH8" i="2"/>
  <c r="AG9" i="2"/>
  <c r="AG11" i="2"/>
  <c r="AG12" i="2" s="1"/>
  <c r="AF20" i="2"/>
  <c r="AF21" i="2" s="1"/>
  <c r="AK24" i="2"/>
  <c r="D12" i="3"/>
  <c r="AG20" i="2" l="1"/>
  <c r="AG21" i="2" s="1"/>
  <c r="AI14" i="2"/>
  <c r="AI18" i="2" s="1"/>
  <c r="AI8" i="2"/>
  <c r="AJ5" i="2"/>
  <c r="AJ6" i="2" s="1"/>
  <c r="AH11" i="2"/>
  <c r="AH12" i="2" s="1"/>
  <c r="AH9" i="2"/>
  <c r="AK5" i="2" l="1"/>
  <c r="AJ14" i="2"/>
  <c r="AJ18" i="2" s="1"/>
  <c r="AJ8" i="2"/>
  <c r="AK6" i="2"/>
  <c r="AI11" i="2"/>
  <c r="AI12" i="2" s="1"/>
  <c r="AI9" i="2"/>
  <c r="AH20" i="2"/>
  <c r="AH21" i="2" s="1"/>
  <c r="AI20" i="2" l="1"/>
  <c r="AI21" i="2" s="1"/>
  <c r="AK8" i="2"/>
  <c r="C22" i="3"/>
  <c r="AK14" i="2"/>
  <c r="AK18" i="2" s="1"/>
  <c r="D9" i="3" s="1"/>
  <c r="D4" i="3"/>
  <c r="AJ9" i="2"/>
  <c r="AJ11" i="2"/>
  <c r="AJ12" i="2" s="1"/>
  <c r="AJ20" i="2" l="1"/>
  <c r="AJ21" i="2"/>
  <c r="B22" i="3"/>
  <c r="AK11" i="2"/>
  <c r="AK12" i="2" s="1"/>
  <c r="AK9" i="2"/>
  <c r="D7" i="3" s="1"/>
  <c r="D6" i="3"/>
  <c r="AK20" i="2" l="1"/>
  <c r="D8" i="3"/>
  <c r="D22" i="3" l="1"/>
  <c r="D10" i="3"/>
  <c r="D11" i="3" s="1"/>
  <c r="AK21" i="2"/>
</calcChain>
</file>

<file path=xl/sharedStrings.xml><?xml version="1.0" encoding="utf-8"?>
<sst xmlns="http://schemas.openxmlformats.org/spreadsheetml/2006/main" count="147" uniqueCount="137">
  <si>
    <t>POURACCORD — MODÈLE FINANCIER  ·  Hypothèses &amp; Paramètres</t>
  </si>
  <si>
    <t>Code couleur :   Bleu = saisie manuelle   |   Fond jaune = hypothèse clé   |   Noir = formule calculée</t>
  </si>
  <si>
    <t xml:space="preserve">  A — GRILLE DE PRIX (modifiable librement)</t>
  </si>
  <si>
    <t>Plan</t>
  </si>
  <si>
    <t>Dossiers inclus/mois</t>
  </si>
  <si>
    <t>Prix HT/mois (€)</t>
  </si>
  <si>
    <t>Prix/dossier inclus (€)</t>
  </si>
  <si>
    <t>Dossier supplémentaire (€)</t>
  </si>
  <si>
    <t>Mix % agences</t>
  </si>
  <si>
    <t>Starter</t>
  </si>
  <si>
    <t>Pro</t>
  </si>
  <si>
    <t>Expert</t>
  </si>
  <si>
    <t>Somme mix →</t>
  </si>
  <si>
    <t xml:space="preserve">  B — CROISSANCE AGENCES</t>
  </si>
  <si>
    <t>Agences ajoutées / mois (M1–M6)</t>
  </si>
  <si>
    <t>Agences ajoutées / mois (M7–M12)</t>
  </si>
  <si>
    <t>Agences ajoutées / mois (M13–M24)</t>
  </si>
  <si>
    <t>Agences ajoutées / mois (M25–M36)</t>
  </si>
  <si>
    <t>Taux de churn mensuel (%)</t>
  </si>
  <si>
    <t>Taux conversion essai → payant (%)</t>
  </si>
  <si>
    <t>Durée essai gratuit (mois)</t>
  </si>
  <si>
    <t xml:space="preserve">  C — COÛTS &amp; UNIT ECONOMICS</t>
  </si>
  <si>
    <t>CAC — Coût acquisition agence (€)</t>
  </si>
  <si>
    <t>Coût variable / dossier analysé (€)</t>
  </si>
  <si>
    <t>Charges fixes mensuelles (€)</t>
  </si>
  <si>
    <t>% Charges fixes croissance/an</t>
  </si>
  <si>
    <t>ETP recrutés à M6</t>
  </si>
  <si>
    <t>Coût moyen ETP/mois (€)</t>
  </si>
  <si>
    <t xml:space="preserve">  D — LOCATAIRES (effet réseau)</t>
  </si>
  <si>
    <t>Locataires inscrits M0 (base)</t>
  </si>
  <si>
    <t>Nouveaux locataires / mois (M1–M6)</t>
  </si>
  <si>
    <t>Nouveaux locataires / mois (M7–M12)</t>
  </si>
  <si>
    <t>Nouveaux locataires / mois (M13–M36)</t>
  </si>
  <si>
    <t>Nb de dossiers créés / locataire/mois</t>
  </si>
  <si>
    <t xml:space="preserve">  E — ARPU PONDÉRÉ CALCULÉ (résultat)</t>
  </si>
  <si>
    <t>ARPU mensuel moyen pondéré (€)</t>
  </si>
  <si>
    <t>Prix moyen par dossier (€)</t>
  </si>
  <si>
    <t>PROJECTIONS MENSUELLES — 36 MOIS</t>
  </si>
  <si>
    <t>Toutes les formules sont liées à l'onglet Hypothèses. Modifie les hypothèses pour voir l'impact ici.</t>
  </si>
  <si>
    <t xml:space="preserve">  ACTIVITÉ AGENCES</t>
  </si>
  <si>
    <t>Nouvelles agences (brutes)</t>
  </si>
  <si>
    <t>Agences perdues (churn)</t>
  </si>
  <si>
    <t>Agences payantes (cumulé)</t>
  </si>
  <si>
    <t xml:space="preserve">  REVENUS</t>
  </si>
  <si>
    <t>MRR (€)</t>
  </si>
  <si>
    <t>ARR run-rate (€)</t>
  </si>
  <si>
    <t>Revenus dossiers supp. (€)</t>
  </si>
  <si>
    <t>Revenus TOTAUX (€)</t>
  </si>
  <si>
    <t xml:space="preserve">  COÛTS</t>
  </si>
  <si>
    <t>Coût variable dossiers (€)</t>
  </si>
  <si>
    <t>Charges fixes (€)</t>
  </si>
  <si>
    <t>CAC (acquisition) (€)</t>
  </si>
  <si>
    <t>Masse salariale (€)</t>
  </si>
  <si>
    <t>TOTAL COÛTS (€)</t>
  </si>
  <si>
    <t xml:space="preserve">  RENTABILITÉ</t>
  </si>
  <si>
    <t>EBITDA (€)</t>
  </si>
  <si>
    <t>Marge EBITDA (%)</t>
  </si>
  <si>
    <t xml:space="preserve">  MÉTRIQUES</t>
  </si>
  <si>
    <t>Locataires inscrits (cumulé)</t>
  </si>
  <si>
    <t>Dossiers créés / mois</t>
  </si>
  <si>
    <t>LTV estimée / agence (€)</t>
  </si>
  <si>
    <t>LTV / CAC</t>
  </si>
  <si>
    <t>SYNTHÈSE ANNUELLE — AN 1 / AN 2 / AN 3</t>
  </si>
  <si>
    <t>Indicateur</t>
  </si>
  <si>
    <t>AN 1 (M1–M12)</t>
  </si>
  <si>
    <t>AN 2 (M13–M24)</t>
  </si>
  <si>
    <t>AN 3 (M25–M36)</t>
  </si>
  <si>
    <t>Agences payantes fin de période</t>
  </si>
  <si>
    <t>MRR fin de période (€)</t>
  </si>
  <si>
    <t>ARR run-rate fin de période (€)</t>
  </si>
  <si>
    <t>Revenus totaux (€)</t>
  </si>
  <si>
    <t>Total coûts (€)</t>
  </si>
  <si>
    <t>Locataires (fin de période)</t>
  </si>
  <si>
    <t>LTV estimée (€)</t>
  </si>
  <si>
    <t>Période</t>
  </si>
  <si>
    <t>Agences payantes</t>
  </si>
  <si>
    <t>M6</t>
  </si>
  <si>
    <t>M12</t>
  </si>
  <si>
    <t>M18</t>
  </si>
  <si>
    <t>M24</t>
  </si>
  <si>
    <t>M30</t>
  </si>
  <si>
    <t>M36</t>
  </si>
  <si>
    <t>COMPARAISON DE SCÉNARIOS — Modifier manuellement pour tester différentes hypothèses</t>
  </si>
  <si>
    <t>⚠️  Ce tableau est une copie statique. Pour chaque scénario, modifie les Hypothèses, note les résultats ici, puis compare.</t>
  </si>
  <si>
    <t>Scénario BASE
(deck actuel)</t>
  </si>
  <si>
    <t>Scénario PESSIMISTE
(churn 8%, prix -20%)</t>
  </si>
  <si>
    <t>Scénario OPTIMISTE
(churn 3%, prix +10%)</t>
  </si>
  <si>
    <t>Mon scénario A</t>
  </si>
  <si>
    <t>Mon scénario B</t>
  </si>
  <si>
    <t>── HYPOTHÈSES ──</t>
  </si>
  <si>
    <t>Prix Starter (€/mois)</t>
  </si>
  <si>
    <t>Prix Pro (€/mois)</t>
  </si>
  <si>
    <t>Prix Expert (€/mois)</t>
  </si>
  <si>
    <t>Mix Starter / Pro / Expert</t>
  </si>
  <si>
    <t>50/35/15</t>
  </si>
  <si>
    <t>55/35/10</t>
  </si>
  <si>
    <t>45/35/20</t>
  </si>
  <si>
    <t>ARPU pondéré (€)</t>
  </si>
  <si>
    <t>Churn mensuel (%)</t>
  </si>
  <si>
    <t>5,0%</t>
  </si>
  <si>
    <t>8,0%</t>
  </si>
  <si>
    <t>3,0%</t>
  </si>
  <si>
    <t>CAC (€)</t>
  </si>
  <si>
    <t>Croissance M1-M6 (ag/mois)</t>
  </si>
  <si>
    <t>── RÉSULTATS M36 ──</t>
  </si>
  <si>
    <t>Agences payantes M36</t>
  </si>
  <si>
    <t>MRR M36 (€)</t>
  </si>
  <si>
    <t>ARR M36 (€)</t>
  </si>
  <si>
    <t>1,49M€</t>
  </si>
  <si>
    <t>0,67M€</t>
  </si>
  <si>
    <t>2,47M€</t>
  </si>
  <si>
    <t>EBITDA M36 (€)</t>
  </si>
  <si>
    <t>~45K€</t>
  </si>
  <si>
    <t>~(20K€)</t>
  </si>
  <si>
    <t>~120K€</t>
  </si>
  <si>
    <t>Seuil de rentabilité</t>
  </si>
  <si>
    <t>M14</t>
  </si>
  <si>
    <t>M20+</t>
  </si>
  <si>
    <t>M11</t>
  </si>
  <si>
    <t>2,5x</t>
  </si>
  <si>
    <t>1,5x</t>
  </si>
  <si>
    <t>4,2x</t>
  </si>
  <si>
    <t>Comment utiliser ce tableau :  1) Va dans Hypothèses et change les valeurs (texte bleu)  →  2) Copie les résultats de Synthèse Annuelle  →  3) Colle ici dans 'Mon scénario A' ou 'B'</t>
  </si>
  <si>
    <t>UNIT ECONOMICS — PAR AGENCE CLIENTE</t>
  </si>
  <si>
    <t xml:space="preserve">  REVENUS PAR AGENCE</t>
  </si>
  <si>
    <t>ARPU mensuel pondéré (€)</t>
  </si>
  <si>
    <t>ARPU annuel (€)</t>
  </si>
  <si>
    <t xml:space="preserve">  COÛT D'ACQUISITION</t>
  </si>
  <si>
    <t>Payback period (mois)</t>
  </si>
  <si>
    <t xml:space="preserve">  DURÉE DE VIE</t>
  </si>
  <si>
    <t>Churn mensuel</t>
  </si>
  <si>
    <t>Durée de vie moyenne (mois)</t>
  </si>
  <si>
    <t>Durée de vie moyenne (ans)</t>
  </si>
  <si>
    <t xml:space="preserve">  LTV &amp; RENTABILITÉ</t>
  </si>
  <si>
    <t>LTV brute (€)</t>
  </si>
  <si>
    <t>LTV nette (aprés coût var.)</t>
  </si>
  <si>
    <t>Marge brute / agence / mois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</si>
</sst>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\-"/>
    <numFmt numFmtId="165" formatCode="#,##0&quot; €&quot;;\(#,##0&quot; €)&quot;;\-"/>
    <numFmt numFmtId="166" formatCode="#,##0.00&quot; €&quot;;\(#,##0.00&quot; €)&quot;;\-"/>
    <numFmt numFmtId="167" formatCode="0.0%;\(0.0%\);\-"/>
    <numFmt numFmtId="168" formatCode="0.0\x"/>
    <numFmt numFmtId="169" formatCode="0.0&quot; mois&quot;"/>
    <numFmt numFmtId="170" formatCode="0.00&quot; ans&quot;"/>
  </numFmts>
  <fonts count="20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94A3B8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rgb="FF00897B"/>
      <name val="Arial"/>
      <family val="2"/>
    </font>
    <font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b/>
      <sz val="11"/>
      <color rgb="FFFFFFFF"/>
      <name val="Arial"/>
      <family val="2"/>
    </font>
    <font>
      <sz val="9"/>
      <color rgb="FF008000"/>
      <name val="Arial"/>
      <family val="2"/>
    </font>
    <font>
      <b/>
      <sz val="12"/>
      <color rgb="FFFFFFFF"/>
      <name val="Arial"/>
      <family val="2"/>
    </font>
    <font>
      <sz val="10"/>
      <color rgb="FF00897B"/>
      <name val="Arial"/>
      <family val="2"/>
    </font>
    <font>
      <sz val="10"/>
      <color rgb="FFC0392B"/>
      <name val="Arial"/>
      <family val="2"/>
    </font>
    <font>
      <sz val="10"/>
      <color rgb="FF27AE60"/>
      <name val="Arial"/>
      <family val="2"/>
    </font>
    <font>
      <sz val="10"/>
      <color rgb="FF0000F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D1B2A"/>
        <bgColor rgb="FF1A3050"/>
      </patternFill>
    </fill>
    <fill>
      <patternFill patternType="solid">
        <fgColor rgb="FF00897B"/>
        <bgColor rgb="FF008080"/>
      </patternFill>
    </fill>
    <fill>
      <patternFill patternType="solid">
        <fgColor rgb="FF4DB6AC"/>
        <bgColor rgb="FF27AE60"/>
      </patternFill>
    </fill>
    <fill>
      <patternFill patternType="solid">
        <fgColor rgb="FFF5F7F8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EF3C7"/>
        <bgColor rgb="FFFFEBEE"/>
      </patternFill>
    </fill>
    <fill>
      <patternFill patternType="solid">
        <fgColor rgb="FFB2DFDB"/>
        <bgColor rgb="FFC8E6C9"/>
      </patternFill>
    </fill>
    <fill>
      <patternFill patternType="solid">
        <fgColor rgb="FFFFFFFF"/>
        <bgColor rgb="FFF5F7F8"/>
      </patternFill>
    </fill>
    <fill>
      <patternFill patternType="solid">
        <fgColor rgb="FF1A3050"/>
        <bgColor rgb="FF333333"/>
      </patternFill>
    </fill>
    <fill>
      <patternFill patternType="solid">
        <fgColor rgb="FFC0392B"/>
        <bgColor rgb="FF993366"/>
      </patternFill>
    </fill>
    <fill>
      <patternFill patternType="solid">
        <fgColor rgb="FF27AE60"/>
        <bgColor rgb="FF4DB6AC"/>
      </patternFill>
    </fill>
    <fill>
      <patternFill patternType="solid">
        <fgColor rgb="FFF59E0B"/>
        <bgColor rgb="FFFFCC00"/>
      </patternFill>
    </fill>
    <fill>
      <patternFill patternType="solid">
        <fgColor rgb="FF8E44AD"/>
        <bgColor rgb="FF993366"/>
      </patternFill>
    </fill>
    <fill>
      <patternFill patternType="solid">
        <fgColor rgb="FFE2E8F0"/>
        <bgColor rgb="FFE0F2F1"/>
      </patternFill>
    </fill>
    <fill>
      <patternFill patternType="solid">
        <fgColor rgb="FFE0F2F1"/>
        <bgColor rgb="FFE8F5E9"/>
      </patternFill>
    </fill>
    <fill>
      <patternFill patternType="solid">
        <fgColor rgb="FFFFEBEE"/>
        <bgColor rgb="FFF5F7F8"/>
      </patternFill>
    </fill>
    <fill>
      <patternFill patternType="solid">
        <fgColor rgb="FFE8F5E9"/>
        <bgColor rgb="FFE0F2F1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15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165" fontId="6" fillId="6" borderId="1" xfId="0" applyNumberFormat="1" applyFont="1" applyFill="1" applyBorder="1" applyAlignment="1">
      <alignment horizontal="right" vertical="center"/>
    </xf>
    <xf numFmtId="166" fontId="7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167" fontId="6" fillId="6" borderId="1" xfId="0" applyNumberFormat="1" applyFont="1" applyFill="1" applyBorder="1" applyAlignment="1">
      <alignment horizontal="right" vertical="center"/>
    </xf>
    <xf numFmtId="0" fontId="8" fillId="0" borderId="0" xfId="0" applyFont="1"/>
    <xf numFmtId="167" fontId="7" fillId="7" borderId="1" xfId="0" applyNumberFormat="1" applyFont="1" applyFill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167" fontId="6" fillId="0" borderId="1" xfId="0" applyNumberFormat="1" applyFont="1" applyBorder="1" applyAlignment="1">
      <alignment horizontal="right" vertical="center"/>
    </xf>
    <xf numFmtId="0" fontId="5" fillId="0" borderId="0" xfId="0" applyFont="1"/>
    <xf numFmtId="165" fontId="9" fillId="8" borderId="1" xfId="0" applyNumberFormat="1" applyFont="1" applyFill="1" applyBorder="1" applyAlignment="1">
      <alignment horizontal="right" vertical="center"/>
    </xf>
    <xf numFmtId="0" fontId="10" fillId="0" borderId="0" xfId="0" applyFont="1"/>
    <xf numFmtId="0" fontId="2" fillId="0" borderId="0" xfId="0" applyFont="1"/>
    <xf numFmtId="0" fontId="10" fillId="9" borderId="1" xfId="0" applyFont="1" applyFill="1" applyBorder="1" applyAlignment="1">
      <alignment horizontal="left" vertical="center" indent="1"/>
    </xf>
    <xf numFmtId="164" fontId="7" fillId="0" borderId="1" xfId="0" applyNumberFormat="1" applyFont="1" applyBorder="1" applyAlignment="1">
      <alignment horizontal="right" vertical="center"/>
    </xf>
    <xf numFmtId="0" fontId="12" fillId="5" borderId="1" xfId="0" applyFont="1" applyFill="1" applyBorder="1" applyAlignment="1">
      <alignment horizontal="left" vertical="center" indent="1"/>
    </xf>
    <xf numFmtId="165" fontId="7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7" fillId="8" borderId="1" xfId="0" applyNumberFormat="1" applyFont="1" applyFill="1" applyBorder="1" applyAlignment="1">
      <alignment horizontal="right" vertical="center"/>
    </xf>
    <xf numFmtId="167" fontId="7" fillId="0" borderId="1" xfId="0" applyNumberFormat="1" applyFont="1" applyBorder="1" applyAlignment="1">
      <alignment horizontal="right" vertical="center"/>
    </xf>
    <xf numFmtId="168" fontId="7" fillId="0" borderId="1" xfId="0" applyNumberFormat="1" applyFont="1" applyBorder="1" applyAlignment="1">
      <alignment horizontal="right" vertical="center"/>
    </xf>
    <xf numFmtId="0" fontId="13" fillId="2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164" fontId="7" fillId="9" borderId="1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left" vertical="center"/>
    </xf>
    <xf numFmtId="165" fontId="7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left" vertical="center"/>
    </xf>
    <xf numFmtId="167" fontId="7" fillId="9" borderId="1" xfId="0" applyNumberFormat="1" applyFont="1" applyFill="1" applyBorder="1" applyAlignment="1">
      <alignment horizontal="right" vertical="center"/>
    </xf>
    <xf numFmtId="168" fontId="7" fillId="9" borderId="1" xfId="0" applyNumberFormat="1" applyFont="1" applyFill="1" applyBorder="1" applyAlignment="1">
      <alignment horizontal="right" vertical="center"/>
    </xf>
    <xf numFmtId="0" fontId="14" fillId="0" borderId="0" xfId="0" applyFont="1"/>
    <xf numFmtId="165" fontId="14" fillId="0" borderId="0" xfId="0" applyNumberFormat="1" applyFont="1"/>
    <xf numFmtId="164" fontId="14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12" fillId="15" borderId="1" xfId="0" applyFont="1" applyFill="1" applyBorder="1" applyAlignment="1">
      <alignment horizontal="left" vertical="center"/>
    </xf>
    <xf numFmtId="0" fontId="16" fillId="16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9" fontId="9" fillId="8" borderId="1" xfId="0" applyNumberFormat="1" applyFont="1" applyFill="1" applyBorder="1" applyAlignment="1">
      <alignment horizontal="right" vertical="center"/>
    </xf>
    <xf numFmtId="167" fontId="9" fillId="8" borderId="1" xfId="0" applyNumberFormat="1" applyFont="1" applyFill="1" applyBorder="1" applyAlignment="1">
      <alignment horizontal="right" vertical="center"/>
    </xf>
    <xf numFmtId="170" fontId="9" fillId="8" borderId="1" xfId="0" applyNumberFormat="1" applyFont="1" applyFill="1" applyBorder="1" applyAlignment="1">
      <alignment horizontal="right" vertical="center"/>
    </xf>
    <xf numFmtId="168" fontId="9" fillId="8" borderId="1" xfId="0" applyNumberFormat="1" applyFont="1" applyFill="1" applyBorder="1" applyAlignment="1">
      <alignment horizontal="right" vertical="center"/>
    </xf>
    <xf numFmtId="166" fontId="6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2">
    <dxf>
      <fill>
        <patternFill>
          <bgColor rgb="FFFFCDD2"/>
        </patternFill>
      </fill>
    </dxf>
    <dxf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97B"/>
      <rgbColor rgb="FFCCCCCC"/>
      <rgbColor rgb="FF878787"/>
      <rgbColor rgb="FF9999FF"/>
      <rgbColor rgb="FF8E44AD"/>
      <rgbColor rgb="FFFEF3C7"/>
      <rgbColor rgb="FFE0F2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C9"/>
      <rgbColor rgb="FFFFEBEE"/>
      <rgbColor rgb="FFB2DFDB"/>
      <rgbColor rgb="FFF5F7F8"/>
      <rgbColor rgb="FFE2E8F0"/>
      <rgbColor rgb="FFFFCDD2"/>
      <rgbColor rgb="FF3366FF"/>
      <rgbColor rgb="FF4DB6AC"/>
      <rgbColor rgb="FF99CC00"/>
      <rgbColor rgb="FFFFCC00"/>
      <rgbColor rgb="FFF59E0B"/>
      <rgbColor rgb="FFFF6600"/>
      <rgbColor rgb="FF666699"/>
      <rgbColor rgb="FF94A3B8"/>
      <rgbColor rgb="FF1A3050"/>
      <rgbColor rgb="FF27AE60"/>
      <rgbColor rgb="FF0D1B2A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fr-FR" sz="1800" b="1" strike="noStrike" spc="-1">
                <a:solidFill>
                  <a:srgbClr val="000000"/>
                </a:solidFill>
                <a:latin typeface="Calibri"/>
              </a:rPr>
              <a:t>MRR Mensuel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'Synthèse Annuelle'!$B$16</c:f>
              <c:strCache>
                <c:ptCount val="1"/>
                <c:pt idx="0">
                  <c:v>MRR (€)</c:v>
                </c:pt>
              </c:strCache>
            </c:strRef>
          </c:tx>
          <c:spPr>
            <a:solidFill>
              <a:srgbClr val="00897B"/>
            </a:solidFill>
            <a:ln w="9360">
              <a:solidFill>
                <a:srgbClr val="00897B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'Synthèse Annuelle'!$A$17:$A$22</c:f>
              <c:strCache>
                <c:ptCount val="6"/>
                <c:pt idx="0">
                  <c:v>M6</c:v>
                </c:pt>
                <c:pt idx="1">
                  <c:v>M12</c:v>
                </c:pt>
                <c:pt idx="2">
                  <c:v>M18</c:v>
                </c:pt>
                <c:pt idx="3">
                  <c:v>M24</c:v>
                </c:pt>
                <c:pt idx="4">
                  <c:v>M30</c:v>
                </c:pt>
                <c:pt idx="5">
                  <c:v>M36</c:v>
                </c:pt>
              </c:strCache>
            </c:strRef>
          </c:cat>
          <c:val>
            <c:numRef>
              <c:f>'Synthèse Annuelle'!$B$17:$B$22</c:f>
              <c:numCache>
                <c:formatCode>#,##0" €";\(#,##0" €)";\-</c:formatCode>
                <c:ptCount val="6"/>
                <c:pt idx="0">
                  <c:v>10500</c:v>
                </c:pt>
                <c:pt idx="1">
                  <c:v>23500</c:v>
                </c:pt>
                <c:pt idx="2">
                  <c:v>41000</c:v>
                </c:pt>
                <c:pt idx="3">
                  <c:v>54000</c:v>
                </c:pt>
                <c:pt idx="4">
                  <c:v>69000</c:v>
                </c:pt>
                <c:pt idx="5">
                  <c:v>79750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43-BC4D-823E-AE6A64ADD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091216"/>
        <c:axId val="84135190"/>
      </c:barChart>
      <c:catAx>
        <c:axId val="7309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fr-FR"/>
          </a:p>
        </c:txPr>
        <c:crossAx val="84135190"/>
        <c:crosses val="autoZero"/>
        <c:auto val="1"/>
        <c:lblAlgn val="ctr"/>
        <c:lblOffset val="100"/>
        <c:noMultiLvlLbl val="0"/>
      </c:catAx>
      <c:valAx>
        <c:axId val="841351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fr-FR"/>
          </a:p>
        </c:txPr>
        <c:crossAx val="730912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fr-FR" sz="1800" b="1" strike="noStrike" spc="-1">
                <a:solidFill>
                  <a:srgbClr val="000000"/>
                </a:solidFill>
                <a:latin typeface="Calibri"/>
              </a:rPr>
              <a:t>EBITDA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'Synthèse Annuelle'!$D$16</c:f>
              <c:strCache>
                <c:ptCount val="1"/>
                <c:pt idx="0">
                  <c:v>EBITDA (€)</c:v>
                </c:pt>
              </c:strCache>
            </c:strRef>
          </c:tx>
          <c:spPr>
            <a:ln w="24840">
              <a:solidFill>
                <a:srgbClr val="F59E0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'Synthèse Annuelle'!$A$17:$A$22</c:f>
              <c:strCache>
                <c:ptCount val="6"/>
                <c:pt idx="0">
                  <c:v>M6</c:v>
                </c:pt>
                <c:pt idx="1">
                  <c:v>M12</c:v>
                </c:pt>
                <c:pt idx="2">
                  <c:v>M18</c:v>
                </c:pt>
                <c:pt idx="3">
                  <c:v>M24</c:v>
                </c:pt>
                <c:pt idx="4">
                  <c:v>M30</c:v>
                </c:pt>
                <c:pt idx="5">
                  <c:v>M36</c:v>
                </c:pt>
              </c:strCache>
            </c:strRef>
          </c:cat>
          <c:val>
            <c:numRef>
              <c:f>'Synthèse Annuelle'!$D$17:$D$22</c:f>
              <c:numCache>
                <c:formatCode>#,##0" €";\(#,##0" €)";\-</c:formatCode>
                <c:ptCount val="6"/>
                <c:pt idx="0">
                  <c:v>11550</c:v>
                </c:pt>
                <c:pt idx="1">
                  <c:v>25850</c:v>
                </c:pt>
                <c:pt idx="2">
                  <c:v>45100</c:v>
                </c:pt>
                <c:pt idx="3">
                  <c:v>59400</c:v>
                </c:pt>
                <c:pt idx="4">
                  <c:v>75900</c:v>
                </c:pt>
                <c:pt idx="5">
                  <c:v>87725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BA-4B4E-9981-E0C2C6EDC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398060"/>
        <c:axId val="98883464"/>
      </c:lineChart>
      <c:catAx>
        <c:axId val="223980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fr-FR"/>
          </a:p>
        </c:txPr>
        <c:crossAx val="98883464"/>
        <c:crosses val="autoZero"/>
        <c:auto val="1"/>
        <c:lblAlgn val="ctr"/>
        <c:lblOffset val="100"/>
        <c:noMultiLvlLbl val="0"/>
      </c:catAx>
      <c:valAx>
        <c:axId val="988834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fr-FR"/>
          </a:p>
        </c:txPr>
        <c:crossAx val="223980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176040</xdr:rowOff>
    </xdr:from>
    <xdr:to>
      <xdr:col>13</xdr:col>
      <xdr:colOff>147600</xdr:colOff>
      <xdr:row>21</xdr:row>
      <xdr:rowOff>156240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21</xdr:row>
      <xdr:rowOff>176040</xdr:rowOff>
    </xdr:from>
    <xdr:to>
      <xdr:col>13</xdr:col>
      <xdr:colOff>147600</xdr:colOff>
      <xdr:row>40</xdr:row>
      <xdr:rowOff>156240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97B"/>
  </sheetPr>
  <dimension ref="A1:J38"/>
  <sheetViews>
    <sheetView showGridLines="0" tabSelected="1" zoomScaleNormal="100" workbookViewId="0">
      <selection activeCell="B13" sqref="B13"/>
    </sheetView>
  </sheetViews>
  <sheetFormatPr baseColWidth="10" defaultColWidth="8.6640625" defaultRowHeight="15" x14ac:dyDescent="0.2"/>
  <cols>
    <col min="1" max="1" width="42" customWidth="1"/>
    <col min="2" max="10" width="16" customWidth="1"/>
  </cols>
  <sheetData>
    <row r="1" spans="1:10" ht="30" customHeight="1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</row>
    <row r="3" spans="1:10" x14ac:dyDescent="0.2">
      <c r="A3" s="6" t="s">
        <v>1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2">
      <c r="A5" s="5" t="s">
        <v>2</v>
      </c>
      <c r="B5" s="5"/>
      <c r="C5" s="5"/>
      <c r="D5" s="5"/>
      <c r="E5" s="5"/>
      <c r="F5" s="5"/>
      <c r="G5" s="5"/>
      <c r="H5" s="5"/>
      <c r="I5" s="5"/>
      <c r="J5" s="5"/>
    </row>
    <row r="6" spans="1:10" ht="27.75" customHeight="1" x14ac:dyDescent="0.2">
      <c r="A6" s="8" t="s">
        <v>3</v>
      </c>
      <c r="B6" s="9" t="s">
        <v>4</v>
      </c>
      <c r="C6" s="8" t="s">
        <v>5</v>
      </c>
      <c r="D6" s="9" t="s">
        <v>6</v>
      </c>
      <c r="E6" s="8" t="s">
        <v>7</v>
      </c>
      <c r="F6" s="9" t="s">
        <v>8</v>
      </c>
    </row>
    <row r="7" spans="1:10" x14ac:dyDescent="0.2">
      <c r="A7" s="10" t="s">
        <v>9</v>
      </c>
      <c r="B7" s="11">
        <v>50</v>
      </c>
      <c r="C7" s="12">
        <v>80</v>
      </c>
      <c r="D7" s="13">
        <f>C7/B7</f>
        <v>1.6</v>
      </c>
      <c r="E7" s="60">
        <v>1.6</v>
      </c>
      <c r="F7" s="15">
        <v>0.5</v>
      </c>
    </row>
    <row r="8" spans="1:10" x14ac:dyDescent="0.2">
      <c r="A8" s="10" t="s">
        <v>10</v>
      </c>
      <c r="B8" s="11">
        <v>200</v>
      </c>
      <c r="C8" s="12">
        <v>300</v>
      </c>
      <c r="D8" s="13">
        <f>C8/B8</f>
        <v>1.5</v>
      </c>
      <c r="E8" s="60">
        <v>1.5</v>
      </c>
      <c r="F8" s="15">
        <v>0.35</v>
      </c>
    </row>
    <row r="9" spans="1:10" x14ac:dyDescent="0.2">
      <c r="A9" s="10" t="s">
        <v>11</v>
      </c>
      <c r="B9" s="11">
        <v>500</v>
      </c>
      <c r="C9" s="12">
        <v>700</v>
      </c>
      <c r="D9" s="13">
        <f>C9/B9</f>
        <v>1.4</v>
      </c>
      <c r="E9" s="60">
        <v>1.4</v>
      </c>
      <c r="F9" s="15">
        <v>0.15</v>
      </c>
    </row>
    <row r="10" spans="1:10" x14ac:dyDescent="0.2">
      <c r="E10" s="16" t="s">
        <v>12</v>
      </c>
      <c r="F10" s="17">
        <f>SUM(F7:F9)</f>
        <v>1</v>
      </c>
    </row>
    <row r="12" spans="1:10" x14ac:dyDescent="0.2">
      <c r="A12" s="5" t="s">
        <v>13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">
      <c r="A13" s="18" t="s">
        <v>14</v>
      </c>
      <c r="B13" s="11">
        <v>8</v>
      </c>
    </row>
    <row r="14" spans="1:10" x14ac:dyDescent="0.2">
      <c r="A14" s="18" t="s">
        <v>15</v>
      </c>
      <c r="B14" s="11">
        <v>12</v>
      </c>
    </row>
    <row r="15" spans="1:10" x14ac:dyDescent="0.2">
      <c r="A15" s="18" t="s">
        <v>16</v>
      </c>
      <c r="B15" s="11">
        <v>18</v>
      </c>
    </row>
    <row r="16" spans="1:10" x14ac:dyDescent="0.2">
      <c r="A16" s="18" t="s">
        <v>17</v>
      </c>
      <c r="B16" s="11">
        <v>22</v>
      </c>
    </row>
    <row r="17" spans="1:10" x14ac:dyDescent="0.2">
      <c r="A17" s="18" t="s">
        <v>18</v>
      </c>
      <c r="B17" s="15">
        <v>0.05</v>
      </c>
    </row>
    <row r="18" spans="1:10" x14ac:dyDescent="0.2">
      <c r="A18" s="18" t="s">
        <v>19</v>
      </c>
      <c r="B18" s="15">
        <v>0.1</v>
      </c>
    </row>
    <row r="19" spans="1:10" x14ac:dyDescent="0.2">
      <c r="A19" s="18" t="s">
        <v>20</v>
      </c>
      <c r="B19" s="11">
        <v>1</v>
      </c>
    </row>
    <row r="21" spans="1:10" x14ac:dyDescent="0.2">
      <c r="A21" s="5" t="s">
        <v>21</v>
      </c>
      <c r="B21" s="5"/>
      <c r="C21" s="5"/>
      <c r="D21" s="5"/>
      <c r="E21" s="5"/>
      <c r="F21" s="5"/>
      <c r="G21" s="5"/>
      <c r="H21" s="5"/>
      <c r="I21" s="5"/>
      <c r="J21" s="5"/>
    </row>
    <row r="22" spans="1:10" x14ac:dyDescent="0.2">
      <c r="A22" s="18" t="s">
        <v>22</v>
      </c>
      <c r="B22" s="14">
        <v>1500</v>
      </c>
    </row>
    <row r="23" spans="1:10" x14ac:dyDescent="0.2">
      <c r="A23" s="18" t="s">
        <v>23</v>
      </c>
      <c r="B23" s="14">
        <v>0.15</v>
      </c>
    </row>
    <row r="24" spans="1:10" x14ac:dyDescent="0.2">
      <c r="A24" s="18" t="s">
        <v>24</v>
      </c>
      <c r="B24" s="14">
        <v>8000</v>
      </c>
    </row>
    <row r="25" spans="1:10" x14ac:dyDescent="0.2">
      <c r="A25" s="18" t="s">
        <v>25</v>
      </c>
      <c r="B25" s="19">
        <v>0.1</v>
      </c>
    </row>
    <row r="26" spans="1:10" x14ac:dyDescent="0.2">
      <c r="A26" s="18" t="s">
        <v>26</v>
      </c>
      <c r="B26" s="11">
        <v>2</v>
      </c>
    </row>
    <row r="27" spans="1:10" x14ac:dyDescent="0.2">
      <c r="A27" s="18" t="s">
        <v>27</v>
      </c>
      <c r="B27" s="14">
        <v>4500</v>
      </c>
    </row>
    <row r="29" spans="1:10" x14ac:dyDescent="0.2">
      <c r="A29" s="5" t="s">
        <v>28</v>
      </c>
      <c r="B29" s="5"/>
      <c r="C29" s="5"/>
      <c r="D29" s="5"/>
      <c r="E29" s="5"/>
      <c r="F29" s="5"/>
      <c r="G29" s="5"/>
      <c r="H29" s="5"/>
      <c r="I29" s="5"/>
      <c r="J29" s="5"/>
    </row>
    <row r="30" spans="1:10" x14ac:dyDescent="0.2">
      <c r="A30" s="18" t="s">
        <v>29</v>
      </c>
      <c r="B30" s="11">
        <v>0</v>
      </c>
    </row>
    <row r="31" spans="1:10" x14ac:dyDescent="0.2">
      <c r="A31" s="18" t="s">
        <v>30</v>
      </c>
      <c r="B31" s="11">
        <v>600</v>
      </c>
    </row>
    <row r="32" spans="1:10" x14ac:dyDescent="0.2">
      <c r="A32" s="18" t="s">
        <v>31</v>
      </c>
      <c r="B32" s="11">
        <v>1500</v>
      </c>
    </row>
    <row r="33" spans="1:10" x14ac:dyDescent="0.2">
      <c r="A33" s="18" t="s">
        <v>32</v>
      </c>
      <c r="B33" s="11">
        <v>4000</v>
      </c>
    </row>
    <row r="34" spans="1:10" x14ac:dyDescent="0.2">
      <c r="A34" s="18" t="s">
        <v>33</v>
      </c>
      <c r="B34" s="11">
        <v>1.2</v>
      </c>
    </row>
    <row r="36" spans="1:10" x14ac:dyDescent="0.2">
      <c r="A36" s="5" t="s">
        <v>34</v>
      </c>
      <c r="B36" s="5"/>
      <c r="C36" s="5"/>
      <c r="D36" s="5"/>
      <c r="E36" s="5"/>
      <c r="F36" s="5"/>
      <c r="G36" s="5"/>
      <c r="H36" s="5"/>
      <c r="I36" s="5"/>
      <c r="J36" s="5"/>
    </row>
    <row r="37" spans="1:10" x14ac:dyDescent="0.2">
      <c r="A37" s="20" t="s">
        <v>35</v>
      </c>
      <c r="B37" s="21">
        <f>SUMPRODUCT(C7:C9,F7:F9)</f>
        <v>250</v>
      </c>
    </row>
    <row r="38" spans="1:10" x14ac:dyDescent="0.2">
      <c r="A38" s="22" t="s">
        <v>36</v>
      </c>
      <c r="B38" s="13">
        <f>SUMPRODUCT(D7:D9,F7:F9)</f>
        <v>1.5349999999999999</v>
      </c>
    </row>
  </sheetData>
  <mergeCells count="7">
    <mergeCell ref="A29:J29"/>
    <mergeCell ref="A36:J36"/>
    <mergeCell ref="A1:J1"/>
    <mergeCell ref="A3:J3"/>
    <mergeCell ref="A5:J5"/>
    <mergeCell ref="A12:J12"/>
    <mergeCell ref="A21:J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3050"/>
  </sheetPr>
  <dimension ref="A1:AN26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0" sqref="A20"/>
    </sheetView>
  </sheetViews>
  <sheetFormatPr baseColWidth="10" defaultColWidth="8.6640625" defaultRowHeight="15" x14ac:dyDescent="0.2"/>
  <cols>
    <col min="1" max="1" width="32" customWidth="1"/>
    <col min="2" max="37" width="11" customWidth="1"/>
  </cols>
  <sheetData>
    <row r="1" spans="1:40" ht="17" x14ac:dyDescent="0.2">
      <c r="A1" s="4" t="s">
        <v>37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</row>
    <row r="2" spans="1:40" x14ac:dyDescent="0.2">
      <c r="A2" s="23" t="s">
        <v>38</v>
      </c>
    </row>
    <row r="3" spans="1:40" x14ac:dyDescent="0.2">
      <c r="A3" s="3" t="s">
        <v>39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40" x14ac:dyDescent="0.2">
      <c r="A4" s="24" t="s">
        <v>40</v>
      </c>
      <c r="B4" s="25">
        <f>Hypothèses!B13</f>
        <v>8</v>
      </c>
      <c r="C4" s="25">
        <f>Hypothèses!B13</f>
        <v>8</v>
      </c>
      <c r="D4" s="25">
        <f>Hypothèses!B13</f>
        <v>8</v>
      </c>
      <c r="E4" s="25">
        <f>Hypothèses!B13</f>
        <v>8</v>
      </c>
      <c r="F4" s="25">
        <f>Hypothèses!B13</f>
        <v>8</v>
      </c>
      <c r="G4" s="25">
        <f>Hypothèses!B13</f>
        <v>8</v>
      </c>
      <c r="H4" s="25">
        <f>Hypothèses!B14</f>
        <v>12</v>
      </c>
      <c r="I4" s="25">
        <f>Hypothèses!B14</f>
        <v>12</v>
      </c>
      <c r="J4" s="25">
        <f>Hypothèses!B14</f>
        <v>12</v>
      </c>
      <c r="K4" s="25">
        <f>Hypothèses!B14</f>
        <v>12</v>
      </c>
      <c r="L4" s="25">
        <f>Hypothèses!B14</f>
        <v>12</v>
      </c>
      <c r="M4" s="25">
        <f>Hypothèses!B14</f>
        <v>12</v>
      </c>
      <c r="N4" s="25">
        <f>Hypothèses!B15</f>
        <v>18</v>
      </c>
      <c r="O4" s="25">
        <f>Hypothèses!B15</f>
        <v>18</v>
      </c>
      <c r="P4" s="25">
        <f>Hypothèses!B15</f>
        <v>18</v>
      </c>
      <c r="Q4" s="25">
        <f>Hypothèses!B15</f>
        <v>18</v>
      </c>
      <c r="R4" s="25">
        <f>Hypothèses!B15</f>
        <v>18</v>
      </c>
      <c r="S4" s="25">
        <f>Hypothèses!B15</f>
        <v>18</v>
      </c>
      <c r="T4" s="25">
        <f>Hypothèses!B15</f>
        <v>18</v>
      </c>
      <c r="U4" s="25">
        <f>Hypothèses!B15</f>
        <v>18</v>
      </c>
      <c r="V4" s="25">
        <f>Hypothèses!B15</f>
        <v>18</v>
      </c>
      <c r="W4" s="25">
        <f>Hypothèses!B15</f>
        <v>18</v>
      </c>
      <c r="X4" s="25">
        <f>Hypothèses!B15</f>
        <v>18</v>
      </c>
      <c r="Y4" s="25">
        <f>Hypothèses!B15</f>
        <v>18</v>
      </c>
      <c r="Z4" s="25">
        <f>Hypothèses!B16</f>
        <v>22</v>
      </c>
      <c r="AA4" s="25">
        <f>Hypothèses!B16</f>
        <v>22</v>
      </c>
      <c r="AB4" s="25">
        <f>Hypothèses!B16</f>
        <v>22</v>
      </c>
      <c r="AC4" s="25">
        <f>Hypothèses!B16</f>
        <v>22</v>
      </c>
      <c r="AD4" s="25">
        <f>Hypothèses!B16</f>
        <v>22</v>
      </c>
      <c r="AE4" s="25">
        <f>Hypothèses!B16</f>
        <v>22</v>
      </c>
      <c r="AF4" s="25">
        <f>Hypothèses!B16</f>
        <v>22</v>
      </c>
      <c r="AG4" s="25">
        <f>Hypothèses!B16</f>
        <v>22</v>
      </c>
      <c r="AH4" s="25">
        <f>Hypothèses!B16</f>
        <v>22</v>
      </c>
      <c r="AI4" s="25">
        <f>Hypothèses!B16</f>
        <v>22</v>
      </c>
      <c r="AJ4" s="25">
        <f>Hypothèses!B16</f>
        <v>22</v>
      </c>
      <c r="AK4" s="25">
        <f>Hypothèses!B16</f>
        <v>22</v>
      </c>
    </row>
    <row r="5" spans="1:40" x14ac:dyDescent="0.2">
      <c r="A5" s="24" t="s">
        <v>41</v>
      </c>
      <c r="B5" s="25">
        <f>0</f>
        <v>0</v>
      </c>
      <c r="C5" s="25">
        <f>ROUND(B6*Hypothèses!B17,0)</f>
        <v>0</v>
      </c>
      <c r="D5" s="25">
        <f>ROUND(C6*Hypothèses!B17,0)</f>
        <v>1</v>
      </c>
      <c r="E5" s="25">
        <f>ROUND(D6*Hypothèses!B17,0)</f>
        <v>1</v>
      </c>
      <c r="F5" s="25">
        <f>ROUND(E6*Hypothèses!B17,0)</f>
        <v>2</v>
      </c>
      <c r="G5" s="25">
        <f>ROUND(F6*Hypothèses!B17,0)</f>
        <v>2</v>
      </c>
      <c r="H5" s="25">
        <f>ROUND(G6*Hypothèses!B17,0)</f>
        <v>2</v>
      </c>
      <c r="I5" s="25">
        <f>ROUND(H6*Hypothèses!B17,0)</f>
        <v>3</v>
      </c>
      <c r="J5" s="25">
        <f>ROUND(I6*Hypothèses!B17,0)</f>
        <v>3</v>
      </c>
      <c r="K5" s="25">
        <f>ROUND(J6*Hypothèses!B17,0)</f>
        <v>4</v>
      </c>
      <c r="L5" s="25">
        <f>ROUND(K6*Hypothèses!B17,0)</f>
        <v>4</v>
      </c>
      <c r="M5" s="25">
        <f>ROUND(L6*Hypothèses!B17,0)</f>
        <v>4</v>
      </c>
      <c r="N5" s="25">
        <f>ROUND(M6*Hypothèses!B17,0)</f>
        <v>5</v>
      </c>
      <c r="O5" s="25">
        <f>ROUND(N6*Hypothèses!B17,0)</f>
        <v>5</v>
      </c>
      <c r="P5" s="25">
        <f>ROUND(O6*Hypothèses!B17,0)</f>
        <v>6</v>
      </c>
      <c r="Q5" s="25">
        <f>ROUND(P6*Hypothèses!B17,0)</f>
        <v>7</v>
      </c>
      <c r="R5" s="25">
        <f>ROUND(Q6*Hypothèses!B17,0)</f>
        <v>7</v>
      </c>
      <c r="S5" s="25">
        <f>ROUND(R6*Hypothèses!B17,0)</f>
        <v>8</v>
      </c>
      <c r="T5" s="25">
        <f>ROUND(S6*Hypothèses!B17,0)</f>
        <v>8</v>
      </c>
      <c r="U5" s="25">
        <f>ROUND(T6*Hypothèses!B17,0)</f>
        <v>9</v>
      </c>
      <c r="V5" s="25">
        <f>ROUND(U6*Hypothèses!B17,0)</f>
        <v>9</v>
      </c>
      <c r="W5" s="25">
        <f>ROUND(V6*Hypothèses!B17,0)</f>
        <v>10</v>
      </c>
      <c r="X5" s="25">
        <f>ROUND(W6*Hypothèses!B17,0)</f>
        <v>10</v>
      </c>
      <c r="Y5" s="25">
        <f>ROUND(X6*Hypothèses!B17,0)</f>
        <v>10</v>
      </c>
      <c r="Z5" s="25">
        <f>ROUND(Y6*Hypothèses!B17,0)</f>
        <v>11</v>
      </c>
      <c r="AA5" s="25">
        <f>ROUND(Z6*Hypothèses!B17,0)</f>
        <v>11</v>
      </c>
      <c r="AB5" s="25">
        <f>ROUND(AA6*Hypothèses!B17,0)</f>
        <v>12</v>
      </c>
      <c r="AC5" s="25">
        <f>ROUND(AB6*Hypothèses!B17,0)</f>
        <v>12</v>
      </c>
      <c r="AD5" s="25">
        <f>ROUND(AC6*Hypothèses!B17,0)</f>
        <v>13</v>
      </c>
      <c r="AE5" s="25">
        <f>ROUND(AD6*Hypothèses!B17,0)</f>
        <v>13</v>
      </c>
      <c r="AF5" s="25">
        <f>ROUND(AE6*Hypothèses!B17,0)</f>
        <v>14</v>
      </c>
      <c r="AG5" s="25">
        <f>ROUND(AF6*Hypothèses!B17,0)</f>
        <v>14</v>
      </c>
      <c r="AH5" s="25">
        <f>ROUND(AG6*Hypothèses!B17,0)</f>
        <v>15</v>
      </c>
      <c r="AI5" s="25">
        <f>ROUND(AH6*Hypothèses!B17,0)</f>
        <v>15</v>
      </c>
      <c r="AJ5" s="25">
        <f>ROUND(AI6*Hypothèses!B17,0)</f>
        <v>15</v>
      </c>
      <c r="AK5" s="25">
        <f>ROUND(AJ6*Hypothèses!B17,0)</f>
        <v>16</v>
      </c>
    </row>
    <row r="6" spans="1:40" x14ac:dyDescent="0.2">
      <c r="A6" s="26" t="s">
        <v>42</v>
      </c>
      <c r="B6" s="25">
        <f>B4-B5</f>
        <v>8</v>
      </c>
      <c r="C6" s="25">
        <f t="shared" ref="C6:AK6" si="0">MAX(0,B6+C4-C5)</f>
        <v>16</v>
      </c>
      <c r="D6" s="25">
        <f t="shared" si="0"/>
        <v>23</v>
      </c>
      <c r="E6" s="25">
        <f t="shared" si="0"/>
        <v>30</v>
      </c>
      <c r="F6" s="25">
        <f t="shared" si="0"/>
        <v>36</v>
      </c>
      <c r="G6" s="25">
        <f t="shared" si="0"/>
        <v>42</v>
      </c>
      <c r="H6" s="25">
        <f t="shared" si="0"/>
        <v>52</v>
      </c>
      <c r="I6" s="25">
        <f t="shared" si="0"/>
        <v>61</v>
      </c>
      <c r="J6" s="25">
        <f t="shared" si="0"/>
        <v>70</v>
      </c>
      <c r="K6" s="25">
        <f t="shared" si="0"/>
        <v>78</v>
      </c>
      <c r="L6" s="25">
        <f t="shared" si="0"/>
        <v>86</v>
      </c>
      <c r="M6" s="25">
        <f t="shared" si="0"/>
        <v>94</v>
      </c>
      <c r="N6" s="25">
        <f t="shared" si="0"/>
        <v>107</v>
      </c>
      <c r="O6" s="25">
        <f t="shared" si="0"/>
        <v>120</v>
      </c>
      <c r="P6" s="25">
        <f t="shared" si="0"/>
        <v>132</v>
      </c>
      <c r="Q6" s="25">
        <f t="shared" si="0"/>
        <v>143</v>
      </c>
      <c r="R6" s="25">
        <f t="shared" si="0"/>
        <v>154</v>
      </c>
      <c r="S6" s="25">
        <f t="shared" si="0"/>
        <v>164</v>
      </c>
      <c r="T6" s="25">
        <f t="shared" si="0"/>
        <v>174</v>
      </c>
      <c r="U6" s="25">
        <f t="shared" si="0"/>
        <v>183</v>
      </c>
      <c r="V6" s="25">
        <f t="shared" si="0"/>
        <v>192</v>
      </c>
      <c r="W6" s="25">
        <f t="shared" si="0"/>
        <v>200</v>
      </c>
      <c r="X6" s="25">
        <f t="shared" si="0"/>
        <v>208</v>
      </c>
      <c r="Y6" s="25">
        <f t="shared" si="0"/>
        <v>216</v>
      </c>
      <c r="Z6" s="25">
        <f t="shared" si="0"/>
        <v>227</v>
      </c>
      <c r="AA6" s="25">
        <f t="shared" si="0"/>
        <v>238</v>
      </c>
      <c r="AB6" s="25">
        <f t="shared" si="0"/>
        <v>248</v>
      </c>
      <c r="AC6" s="25">
        <f t="shared" si="0"/>
        <v>258</v>
      </c>
      <c r="AD6" s="25">
        <f t="shared" si="0"/>
        <v>267</v>
      </c>
      <c r="AE6" s="25">
        <f t="shared" si="0"/>
        <v>276</v>
      </c>
      <c r="AF6" s="25">
        <f t="shared" si="0"/>
        <v>284</v>
      </c>
      <c r="AG6" s="25">
        <f t="shared" si="0"/>
        <v>292</v>
      </c>
      <c r="AH6" s="25">
        <f t="shared" si="0"/>
        <v>299</v>
      </c>
      <c r="AI6" s="25">
        <f t="shared" si="0"/>
        <v>306</v>
      </c>
      <c r="AJ6" s="25">
        <f t="shared" si="0"/>
        <v>313</v>
      </c>
      <c r="AK6" s="25">
        <f t="shared" si="0"/>
        <v>319</v>
      </c>
    </row>
    <row r="7" spans="1:40" x14ac:dyDescent="0.2">
      <c r="A7" s="5" t="s">
        <v>43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</row>
    <row r="8" spans="1:40" x14ac:dyDescent="0.2">
      <c r="A8" s="26" t="s">
        <v>44</v>
      </c>
      <c r="B8" s="27">
        <f>B6*Hypothèses!B37</f>
        <v>2000</v>
      </c>
      <c r="C8" s="27">
        <f>C6*Hypothèses!B37</f>
        <v>4000</v>
      </c>
      <c r="D8" s="27">
        <f>D6*Hypothèses!B37</f>
        <v>5750</v>
      </c>
      <c r="E8" s="27">
        <f>E6*Hypothèses!B37</f>
        <v>7500</v>
      </c>
      <c r="F8" s="27">
        <f>F6*Hypothèses!B37</f>
        <v>9000</v>
      </c>
      <c r="G8" s="27">
        <f>G6*Hypothèses!B37</f>
        <v>10500</v>
      </c>
      <c r="H8" s="27">
        <f>H6*Hypothèses!B37</f>
        <v>13000</v>
      </c>
      <c r="I8" s="27">
        <f>I6*Hypothèses!B37</f>
        <v>15250</v>
      </c>
      <c r="J8" s="27">
        <f>J6*Hypothèses!B37</f>
        <v>17500</v>
      </c>
      <c r="K8" s="27">
        <f>K6*Hypothèses!B37</f>
        <v>19500</v>
      </c>
      <c r="L8" s="27">
        <f>L6*Hypothèses!B37</f>
        <v>21500</v>
      </c>
      <c r="M8" s="27">
        <f>M6*Hypothèses!B37</f>
        <v>23500</v>
      </c>
      <c r="N8" s="27">
        <f>N6*Hypothèses!B37</f>
        <v>26750</v>
      </c>
      <c r="O8" s="27">
        <f>O6*Hypothèses!B37</f>
        <v>30000</v>
      </c>
      <c r="P8" s="27">
        <f>P6*Hypothèses!B37</f>
        <v>33000</v>
      </c>
      <c r="Q8" s="27">
        <f>Q6*Hypothèses!B37</f>
        <v>35750</v>
      </c>
      <c r="R8" s="27">
        <f>R6*Hypothèses!B37</f>
        <v>38500</v>
      </c>
      <c r="S8" s="27">
        <f>S6*Hypothèses!B37</f>
        <v>41000</v>
      </c>
      <c r="T8" s="27">
        <f>T6*Hypothèses!B37</f>
        <v>43500</v>
      </c>
      <c r="U8" s="27">
        <f>U6*Hypothèses!B37</f>
        <v>45750</v>
      </c>
      <c r="V8" s="27">
        <f>V6*Hypothèses!B37</f>
        <v>48000</v>
      </c>
      <c r="W8" s="27">
        <f>W6*Hypothèses!B37</f>
        <v>50000</v>
      </c>
      <c r="X8" s="27">
        <f>X6*Hypothèses!B37</f>
        <v>52000</v>
      </c>
      <c r="Y8" s="27">
        <f>Y6*Hypothèses!B37</f>
        <v>54000</v>
      </c>
      <c r="Z8" s="27">
        <f>Z6*Hypothèses!B37</f>
        <v>56750</v>
      </c>
      <c r="AA8" s="27">
        <f>AA6*Hypothèses!B37</f>
        <v>59500</v>
      </c>
      <c r="AB8" s="27">
        <f>AB6*Hypothèses!B37</f>
        <v>62000</v>
      </c>
      <c r="AC8" s="27">
        <f>AC6*Hypothèses!B37</f>
        <v>64500</v>
      </c>
      <c r="AD8" s="27">
        <f>AD6*Hypothèses!B37</f>
        <v>66750</v>
      </c>
      <c r="AE8" s="27">
        <f>AE6*Hypothèses!B37</f>
        <v>69000</v>
      </c>
      <c r="AF8" s="27">
        <f>AF6*Hypothèses!B37</f>
        <v>71000</v>
      </c>
      <c r="AG8" s="27">
        <f>AG6*Hypothèses!B37</f>
        <v>73000</v>
      </c>
      <c r="AH8" s="27">
        <f>AH6*Hypothèses!B37</f>
        <v>74750</v>
      </c>
      <c r="AI8" s="27">
        <f>AI6*Hypothèses!B37</f>
        <v>76500</v>
      </c>
      <c r="AJ8" s="27">
        <f>AJ6*Hypothèses!B37</f>
        <v>78250</v>
      </c>
      <c r="AK8" s="27">
        <f>AK6*Hypothèses!B37</f>
        <v>79750</v>
      </c>
    </row>
    <row r="9" spans="1:40" x14ac:dyDescent="0.2">
      <c r="A9" s="24" t="s">
        <v>45</v>
      </c>
      <c r="B9" s="27">
        <f t="shared" ref="B9:AK9" si="1">B8*12</f>
        <v>24000</v>
      </c>
      <c r="C9" s="27">
        <f t="shared" si="1"/>
        <v>48000</v>
      </c>
      <c r="D9" s="27">
        <f t="shared" si="1"/>
        <v>69000</v>
      </c>
      <c r="E9" s="27">
        <f t="shared" si="1"/>
        <v>90000</v>
      </c>
      <c r="F9" s="27">
        <f t="shared" si="1"/>
        <v>108000</v>
      </c>
      <c r="G9" s="27">
        <f t="shared" si="1"/>
        <v>126000</v>
      </c>
      <c r="H9" s="27">
        <f t="shared" si="1"/>
        <v>156000</v>
      </c>
      <c r="I9" s="27">
        <f t="shared" si="1"/>
        <v>183000</v>
      </c>
      <c r="J9" s="27">
        <f t="shared" si="1"/>
        <v>210000</v>
      </c>
      <c r="K9" s="27">
        <f t="shared" si="1"/>
        <v>234000</v>
      </c>
      <c r="L9" s="27">
        <f t="shared" si="1"/>
        <v>258000</v>
      </c>
      <c r="M9" s="27">
        <f t="shared" si="1"/>
        <v>282000</v>
      </c>
      <c r="N9" s="27">
        <f t="shared" si="1"/>
        <v>321000</v>
      </c>
      <c r="O9" s="27">
        <f t="shared" si="1"/>
        <v>360000</v>
      </c>
      <c r="P9" s="27">
        <f t="shared" si="1"/>
        <v>396000</v>
      </c>
      <c r="Q9" s="27">
        <f t="shared" si="1"/>
        <v>429000</v>
      </c>
      <c r="R9" s="27">
        <f t="shared" si="1"/>
        <v>462000</v>
      </c>
      <c r="S9" s="27">
        <f t="shared" si="1"/>
        <v>492000</v>
      </c>
      <c r="T9" s="27">
        <f t="shared" si="1"/>
        <v>522000</v>
      </c>
      <c r="U9" s="27">
        <f t="shared" si="1"/>
        <v>549000</v>
      </c>
      <c r="V9" s="27">
        <f t="shared" si="1"/>
        <v>576000</v>
      </c>
      <c r="W9" s="27">
        <f t="shared" si="1"/>
        <v>600000</v>
      </c>
      <c r="X9" s="27">
        <f t="shared" si="1"/>
        <v>624000</v>
      </c>
      <c r="Y9" s="27">
        <f t="shared" si="1"/>
        <v>648000</v>
      </c>
      <c r="Z9" s="27">
        <f t="shared" si="1"/>
        <v>681000</v>
      </c>
      <c r="AA9" s="27">
        <f t="shared" si="1"/>
        <v>714000</v>
      </c>
      <c r="AB9" s="27">
        <f t="shared" si="1"/>
        <v>744000</v>
      </c>
      <c r="AC9" s="27">
        <f t="shared" si="1"/>
        <v>774000</v>
      </c>
      <c r="AD9" s="27">
        <f t="shared" si="1"/>
        <v>801000</v>
      </c>
      <c r="AE9" s="27">
        <f t="shared" si="1"/>
        <v>828000</v>
      </c>
      <c r="AF9" s="27">
        <f t="shared" si="1"/>
        <v>852000</v>
      </c>
      <c r="AG9" s="27">
        <f t="shared" si="1"/>
        <v>876000</v>
      </c>
      <c r="AH9" s="27">
        <f t="shared" si="1"/>
        <v>897000</v>
      </c>
      <c r="AI9" s="27">
        <f t="shared" si="1"/>
        <v>918000</v>
      </c>
      <c r="AJ9" s="27">
        <f t="shared" si="1"/>
        <v>939000</v>
      </c>
      <c r="AK9" s="27">
        <f t="shared" si="1"/>
        <v>957000</v>
      </c>
    </row>
    <row r="11" spans="1:40" x14ac:dyDescent="0.2">
      <c r="A11" s="24" t="s">
        <v>46</v>
      </c>
      <c r="B11" s="27">
        <f t="shared" ref="B11:AK11" si="2">B8*0.1</f>
        <v>200</v>
      </c>
      <c r="C11" s="27">
        <f t="shared" si="2"/>
        <v>400</v>
      </c>
      <c r="D11" s="27">
        <f t="shared" si="2"/>
        <v>575</v>
      </c>
      <c r="E11" s="27">
        <f t="shared" si="2"/>
        <v>750</v>
      </c>
      <c r="F11" s="27">
        <f t="shared" si="2"/>
        <v>900</v>
      </c>
      <c r="G11" s="27">
        <f t="shared" si="2"/>
        <v>1050</v>
      </c>
      <c r="H11" s="27">
        <f t="shared" si="2"/>
        <v>1300</v>
      </c>
      <c r="I11" s="27">
        <f t="shared" si="2"/>
        <v>1525</v>
      </c>
      <c r="J11" s="27">
        <f t="shared" si="2"/>
        <v>1750</v>
      </c>
      <c r="K11" s="27">
        <f t="shared" si="2"/>
        <v>1950</v>
      </c>
      <c r="L11" s="27">
        <f t="shared" si="2"/>
        <v>2150</v>
      </c>
      <c r="M11" s="27">
        <f t="shared" si="2"/>
        <v>2350</v>
      </c>
      <c r="N11" s="27">
        <f t="shared" si="2"/>
        <v>2675</v>
      </c>
      <c r="O11" s="27">
        <f t="shared" si="2"/>
        <v>3000</v>
      </c>
      <c r="P11" s="27">
        <f t="shared" si="2"/>
        <v>3300</v>
      </c>
      <c r="Q11" s="27">
        <f t="shared" si="2"/>
        <v>3575</v>
      </c>
      <c r="R11" s="27">
        <f t="shared" si="2"/>
        <v>3850</v>
      </c>
      <c r="S11" s="27">
        <f t="shared" si="2"/>
        <v>4100</v>
      </c>
      <c r="T11" s="27">
        <f t="shared" si="2"/>
        <v>4350</v>
      </c>
      <c r="U11" s="27">
        <f t="shared" si="2"/>
        <v>4575</v>
      </c>
      <c r="V11" s="27">
        <f t="shared" si="2"/>
        <v>4800</v>
      </c>
      <c r="W11" s="27">
        <f t="shared" si="2"/>
        <v>5000</v>
      </c>
      <c r="X11" s="27">
        <f t="shared" si="2"/>
        <v>5200</v>
      </c>
      <c r="Y11" s="27">
        <f t="shared" si="2"/>
        <v>5400</v>
      </c>
      <c r="Z11" s="27">
        <f t="shared" si="2"/>
        <v>5675</v>
      </c>
      <c r="AA11" s="27">
        <f t="shared" si="2"/>
        <v>5950</v>
      </c>
      <c r="AB11" s="27">
        <f t="shared" si="2"/>
        <v>6200</v>
      </c>
      <c r="AC11" s="27">
        <f t="shared" si="2"/>
        <v>6450</v>
      </c>
      <c r="AD11" s="27">
        <f t="shared" si="2"/>
        <v>6675</v>
      </c>
      <c r="AE11" s="27">
        <f t="shared" si="2"/>
        <v>6900</v>
      </c>
      <c r="AF11" s="27">
        <f t="shared" si="2"/>
        <v>7100</v>
      </c>
      <c r="AG11" s="27">
        <f t="shared" si="2"/>
        <v>7300</v>
      </c>
      <c r="AH11" s="27">
        <f t="shared" si="2"/>
        <v>7475</v>
      </c>
      <c r="AI11" s="27">
        <f t="shared" si="2"/>
        <v>7650</v>
      </c>
      <c r="AJ11" s="27">
        <f t="shared" si="2"/>
        <v>7825</v>
      </c>
      <c r="AK11" s="27">
        <f t="shared" si="2"/>
        <v>7975</v>
      </c>
    </row>
    <row r="12" spans="1:40" x14ac:dyDescent="0.2">
      <c r="A12" s="26" t="s">
        <v>47</v>
      </c>
      <c r="B12" s="28">
        <f t="shared" ref="B12:AK12" si="3">B8+B11</f>
        <v>2200</v>
      </c>
      <c r="C12" s="28">
        <f t="shared" si="3"/>
        <v>4400</v>
      </c>
      <c r="D12" s="28">
        <f t="shared" si="3"/>
        <v>6325</v>
      </c>
      <c r="E12" s="28">
        <f t="shared" si="3"/>
        <v>8250</v>
      </c>
      <c r="F12" s="28">
        <f t="shared" si="3"/>
        <v>9900</v>
      </c>
      <c r="G12" s="28">
        <f t="shared" si="3"/>
        <v>11550</v>
      </c>
      <c r="H12" s="28">
        <f t="shared" si="3"/>
        <v>14300</v>
      </c>
      <c r="I12" s="28">
        <f t="shared" si="3"/>
        <v>16775</v>
      </c>
      <c r="J12" s="28">
        <f t="shared" si="3"/>
        <v>19250</v>
      </c>
      <c r="K12" s="28">
        <f t="shared" si="3"/>
        <v>21450</v>
      </c>
      <c r="L12" s="28">
        <f t="shared" si="3"/>
        <v>23650</v>
      </c>
      <c r="M12" s="28">
        <f t="shared" si="3"/>
        <v>25850</v>
      </c>
      <c r="N12" s="28">
        <f t="shared" si="3"/>
        <v>29425</v>
      </c>
      <c r="O12" s="28">
        <f t="shared" si="3"/>
        <v>33000</v>
      </c>
      <c r="P12" s="28">
        <f t="shared" si="3"/>
        <v>36300</v>
      </c>
      <c r="Q12" s="28">
        <f t="shared" si="3"/>
        <v>39325</v>
      </c>
      <c r="R12" s="28">
        <f t="shared" si="3"/>
        <v>42350</v>
      </c>
      <c r="S12" s="28">
        <f t="shared" si="3"/>
        <v>45100</v>
      </c>
      <c r="T12" s="28">
        <f t="shared" si="3"/>
        <v>47850</v>
      </c>
      <c r="U12" s="28">
        <f t="shared" si="3"/>
        <v>50325</v>
      </c>
      <c r="V12" s="28">
        <f t="shared" si="3"/>
        <v>52800</v>
      </c>
      <c r="W12" s="28">
        <f t="shared" si="3"/>
        <v>55000</v>
      </c>
      <c r="X12" s="28">
        <f t="shared" si="3"/>
        <v>57200</v>
      </c>
      <c r="Y12" s="28">
        <f t="shared" si="3"/>
        <v>59400</v>
      </c>
      <c r="Z12" s="28">
        <f t="shared" si="3"/>
        <v>62425</v>
      </c>
      <c r="AA12" s="28">
        <f t="shared" si="3"/>
        <v>65450</v>
      </c>
      <c r="AB12" s="28">
        <f t="shared" si="3"/>
        <v>68200</v>
      </c>
      <c r="AC12" s="28">
        <f t="shared" si="3"/>
        <v>70950</v>
      </c>
      <c r="AD12" s="28">
        <f t="shared" si="3"/>
        <v>73425</v>
      </c>
      <c r="AE12" s="28">
        <f t="shared" si="3"/>
        <v>75900</v>
      </c>
      <c r="AF12" s="28">
        <f t="shared" si="3"/>
        <v>78100</v>
      </c>
      <c r="AG12" s="28">
        <f t="shared" si="3"/>
        <v>80300</v>
      </c>
      <c r="AH12" s="28">
        <f t="shared" si="3"/>
        <v>82225</v>
      </c>
      <c r="AI12" s="28">
        <f t="shared" si="3"/>
        <v>84150</v>
      </c>
      <c r="AJ12" s="28">
        <f t="shared" si="3"/>
        <v>86075</v>
      </c>
      <c r="AK12" s="28">
        <f t="shared" si="3"/>
        <v>87725</v>
      </c>
    </row>
    <row r="13" spans="1:40" x14ac:dyDescent="0.2">
      <c r="A13" s="5" t="s">
        <v>48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</row>
    <row r="14" spans="1:40" x14ac:dyDescent="0.2">
      <c r="A14" s="24" t="s">
        <v>49</v>
      </c>
      <c r="B14" s="27">
        <f>B6*(SUMPRODUCT(Hypothèses!B7:B9,Hypothèses!F7:F9))*Hypothèses!C23</f>
        <v>0</v>
      </c>
      <c r="C14" s="27">
        <f>C6*(SUMPRODUCT(Hypothèses!B7:B9,Hypothèses!F7:F9))*Hypothèses!C23</f>
        <v>0</v>
      </c>
      <c r="D14" s="27">
        <f>D6*(SUMPRODUCT(Hypothèses!B7:B9,Hypothèses!F7:F9))*Hypothèses!C23</f>
        <v>0</v>
      </c>
      <c r="E14" s="27">
        <f>E6*(SUMPRODUCT(Hypothèses!B7:B9,Hypothèses!F7:F9))*Hypothèses!C23</f>
        <v>0</v>
      </c>
      <c r="F14" s="27">
        <f>F6*(SUMPRODUCT(Hypothèses!B7:B9,Hypothèses!F7:F9))*Hypothèses!C23</f>
        <v>0</v>
      </c>
      <c r="G14" s="27">
        <f>G6*(SUMPRODUCT(Hypothèses!B7:B9,Hypothèses!F7:F9))*Hypothèses!C23</f>
        <v>0</v>
      </c>
      <c r="H14" s="27">
        <f>H6*(SUMPRODUCT(Hypothèses!B7:B9,Hypothèses!F7:F9))*Hypothèses!C23</f>
        <v>0</v>
      </c>
      <c r="I14" s="27">
        <f>I6*(SUMPRODUCT(Hypothèses!B7:B9,Hypothèses!F7:F9))*Hypothèses!C23</f>
        <v>0</v>
      </c>
      <c r="J14" s="27">
        <f>J6*(SUMPRODUCT(Hypothèses!B7:B9,Hypothèses!F7:F9))*Hypothèses!C23</f>
        <v>0</v>
      </c>
      <c r="K14" s="27">
        <f>K6*(SUMPRODUCT(Hypothèses!B7:B9,Hypothèses!F7:F9))*Hypothèses!C23</f>
        <v>0</v>
      </c>
      <c r="L14" s="27">
        <f>L6*(SUMPRODUCT(Hypothèses!B7:B9,Hypothèses!F7:F9))*Hypothèses!C23</f>
        <v>0</v>
      </c>
      <c r="M14" s="27">
        <f>M6*(SUMPRODUCT(Hypothèses!B7:B9,Hypothèses!F7:F9))*Hypothèses!C23</f>
        <v>0</v>
      </c>
      <c r="N14" s="27">
        <f>N6*(SUMPRODUCT(Hypothèses!B7:B9,Hypothèses!F7:F9))*Hypothèses!C23</f>
        <v>0</v>
      </c>
      <c r="O14" s="27">
        <f>O6*(SUMPRODUCT(Hypothèses!B7:B9,Hypothèses!F7:F9))*Hypothèses!C23</f>
        <v>0</v>
      </c>
      <c r="P14" s="27">
        <f>P6*(SUMPRODUCT(Hypothèses!B7:B9,Hypothèses!F7:F9))*Hypothèses!C23</f>
        <v>0</v>
      </c>
      <c r="Q14" s="27">
        <f>Q6*(SUMPRODUCT(Hypothèses!B7:B9,Hypothèses!F7:F9))*Hypothèses!C23</f>
        <v>0</v>
      </c>
      <c r="R14" s="27">
        <f>R6*(SUMPRODUCT(Hypothèses!B7:B9,Hypothèses!F7:F9))*Hypothèses!C23</f>
        <v>0</v>
      </c>
      <c r="S14" s="27">
        <f>S6*(SUMPRODUCT(Hypothèses!B7:B9,Hypothèses!F7:F9))*Hypothèses!C23</f>
        <v>0</v>
      </c>
      <c r="T14" s="27">
        <f>T6*(SUMPRODUCT(Hypothèses!B7:B9,Hypothèses!F7:F9))*Hypothèses!C23</f>
        <v>0</v>
      </c>
      <c r="U14" s="27">
        <f>U6*(SUMPRODUCT(Hypothèses!B7:B9,Hypothèses!F7:F9))*Hypothèses!C23</f>
        <v>0</v>
      </c>
      <c r="V14" s="27">
        <f>V6*(SUMPRODUCT(Hypothèses!B7:B9,Hypothèses!F7:F9))*Hypothèses!C23</f>
        <v>0</v>
      </c>
      <c r="W14" s="27">
        <f>W6*(SUMPRODUCT(Hypothèses!B7:B9,Hypothèses!F7:F9))*Hypothèses!C23</f>
        <v>0</v>
      </c>
      <c r="X14" s="27">
        <f>X6*(SUMPRODUCT(Hypothèses!B7:B9,Hypothèses!F7:F9))*Hypothèses!C23</f>
        <v>0</v>
      </c>
      <c r="Y14" s="27">
        <f>Y6*(SUMPRODUCT(Hypothèses!B7:B9,Hypothèses!F7:F9))*Hypothèses!C23</f>
        <v>0</v>
      </c>
      <c r="Z14" s="27">
        <f>Z6*(SUMPRODUCT(Hypothèses!B7:B9,Hypothèses!F7:F9))*Hypothèses!C23</f>
        <v>0</v>
      </c>
      <c r="AA14" s="27">
        <f>AA6*(SUMPRODUCT(Hypothèses!B7:B9,Hypothèses!F7:F9))*Hypothèses!C23</f>
        <v>0</v>
      </c>
      <c r="AB14" s="27">
        <f>AB6*(SUMPRODUCT(Hypothèses!B7:B9,Hypothèses!F7:F9))*Hypothèses!C23</f>
        <v>0</v>
      </c>
      <c r="AC14" s="27">
        <f>AC6*(SUMPRODUCT(Hypothèses!B7:B9,Hypothèses!F7:F9))*Hypothèses!C23</f>
        <v>0</v>
      </c>
      <c r="AD14" s="27">
        <f>AD6*(SUMPRODUCT(Hypothèses!B7:B9,Hypothèses!F7:F9))*Hypothèses!C23</f>
        <v>0</v>
      </c>
      <c r="AE14" s="27">
        <f>AE6*(SUMPRODUCT(Hypothèses!B7:B9,Hypothèses!F7:F9))*Hypothèses!C23</f>
        <v>0</v>
      </c>
      <c r="AF14" s="27">
        <f>AF6*(SUMPRODUCT(Hypothèses!B7:B9,Hypothèses!F7:F9))*Hypothèses!C23</f>
        <v>0</v>
      </c>
      <c r="AG14" s="27">
        <f>AG6*(SUMPRODUCT(Hypothèses!B7:B9,Hypothèses!F7:F9))*Hypothèses!C23</f>
        <v>0</v>
      </c>
      <c r="AH14" s="27">
        <f>AH6*(SUMPRODUCT(Hypothèses!B7:B9,Hypothèses!F7:F9))*Hypothèses!C23</f>
        <v>0</v>
      </c>
      <c r="AI14" s="27">
        <f>AI6*(SUMPRODUCT(Hypothèses!B7:B9,Hypothèses!F7:F9))*Hypothèses!C23</f>
        <v>0</v>
      </c>
      <c r="AJ14" s="27">
        <f>AJ6*(SUMPRODUCT(Hypothèses!B7:B9,Hypothèses!F7:F9))*Hypothèses!C23</f>
        <v>0</v>
      </c>
      <c r="AK14" s="27">
        <f>AK6*(SUMPRODUCT(Hypothèses!B7:B9,Hypothèses!F7:F9))*Hypothèses!C23</f>
        <v>0</v>
      </c>
    </row>
    <row r="15" spans="1:40" x14ac:dyDescent="0.2">
      <c r="A15" s="24" t="s">
        <v>50</v>
      </c>
      <c r="B15" s="27">
        <f>Hypothèses!C24*(1+Hypothèses!C25)^0</f>
        <v>0</v>
      </c>
      <c r="C15" s="27">
        <f>Hypothèses!C24*(1+Hypothèses!C25)^0</f>
        <v>0</v>
      </c>
      <c r="D15" s="27">
        <f>Hypothèses!C24*(1+Hypothèses!C25)^0</f>
        <v>0</v>
      </c>
      <c r="E15" s="27">
        <f>Hypothèses!C24*(1+Hypothèses!C25)^0</f>
        <v>0</v>
      </c>
      <c r="F15" s="27">
        <f>Hypothèses!C24*(1+Hypothèses!C25)^0</f>
        <v>0</v>
      </c>
      <c r="G15" s="27">
        <f>Hypothèses!C24*(1+Hypothèses!C25)^0</f>
        <v>0</v>
      </c>
      <c r="H15" s="27">
        <f>Hypothèses!C24*(1+Hypothèses!C25)^0</f>
        <v>0</v>
      </c>
      <c r="I15" s="27">
        <f>Hypothèses!C24*(1+Hypothèses!C25)^0</f>
        <v>0</v>
      </c>
      <c r="J15" s="27">
        <f>Hypothèses!C24*(1+Hypothèses!C25)^0</f>
        <v>0</v>
      </c>
      <c r="K15" s="27">
        <f>Hypothèses!C24*(1+Hypothèses!C25)^0</f>
        <v>0</v>
      </c>
      <c r="L15" s="27">
        <f>Hypothèses!C24*(1+Hypothèses!C25)^0</f>
        <v>0</v>
      </c>
      <c r="M15" s="27">
        <f>Hypothèses!C24*(1+Hypothèses!C25)^0</f>
        <v>0</v>
      </c>
      <c r="N15" s="27">
        <f>Hypothèses!C24*(1+Hypothèses!C25)^1</f>
        <v>0</v>
      </c>
      <c r="O15" s="27">
        <f>Hypothèses!C24*(1+Hypothèses!C25)^1</f>
        <v>0</v>
      </c>
      <c r="P15" s="27">
        <f>Hypothèses!C24*(1+Hypothèses!C25)^1</f>
        <v>0</v>
      </c>
      <c r="Q15" s="27">
        <f>Hypothèses!C24*(1+Hypothèses!C25)^1</f>
        <v>0</v>
      </c>
      <c r="R15" s="27">
        <f>Hypothèses!C24*(1+Hypothèses!C25)^1</f>
        <v>0</v>
      </c>
      <c r="S15" s="27">
        <f>Hypothèses!C24*(1+Hypothèses!C25)^1</f>
        <v>0</v>
      </c>
      <c r="T15" s="27">
        <f>Hypothèses!C24*(1+Hypothèses!C25)^1</f>
        <v>0</v>
      </c>
      <c r="U15" s="27">
        <f>Hypothèses!C24*(1+Hypothèses!C25)^1</f>
        <v>0</v>
      </c>
      <c r="V15" s="27">
        <f>Hypothèses!C24*(1+Hypothèses!C25)^1</f>
        <v>0</v>
      </c>
      <c r="W15" s="27">
        <f>Hypothèses!C24*(1+Hypothèses!C25)^1</f>
        <v>0</v>
      </c>
      <c r="X15" s="27">
        <f>Hypothèses!C24*(1+Hypothèses!C25)^1</f>
        <v>0</v>
      </c>
      <c r="Y15" s="27">
        <f>Hypothèses!C24*(1+Hypothèses!C25)^1</f>
        <v>0</v>
      </c>
      <c r="Z15" s="27">
        <f>Hypothèses!C24*(1+Hypothèses!C25)^2</f>
        <v>0</v>
      </c>
      <c r="AA15" s="27">
        <f>Hypothèses!C24*(1+Hypothèses!C25)^2</f>
        <v>0</v>
      </c>
      <c r="AB15" s="27">
        <f>Hypothèses!C24*(1+Hypothèses!C25)^2</f>
        <v>0</v>
      </c>
      <c r="AC15" s="27">
        <f>Hypothèses!C24*(1+Hypothèses!C25)^2</f>
        <v>0</v>
      </c>
      <c r="AD15" s="27">
        <f>Hypothèses!C24*(1+Hypothèses!C25)^2</f>
        <v>0</v>
      </c>
      <c r="AE15" s="27">
        <f>Hypothèses!C24*(1+Hypothèses!C25)^2</f>
        <v>0</v>
      </c>
      <c r="AF15" s="27">
        <f>Hypothèses!C24*(1+Hypothèses!C25)^2</f>
        <v>0</v>
      </c>
      <c r="AG15" s="27">
        <f>Hypothèses!C24*(1+Hypothèses!C25)^2</f>
        <v>0</v>
      </c>
      <c r="AH15" s="27">
        <f>Hypothèses!C24*(1+Hypothèses!C25)^2</f>
        <v>0</v>
      </c>
      <c r="AI15" s="27">
        <f>Hypothèses!C24*(1+Hypothèses!C25)^2</f>
        <v>0</v>
      </c>
      <c r="AJ15" s="27">
        <f>Hypothèses!C24*(1+Hypothèses!C25)^2</f>
        <v>0</v>
      </c>
      <c r="AK15" s="27">
        <f>Hypothèses!C24*(1+Hypothèses!C25)^2</f>
        <v>0</v>
      </c>
    </row>
    <row r="16" spans="1:40" x14ac:dyDescent="0.2">
      <c r="A16" s="24" t="s">
        <v>51</v>
      </c>
      <c r="B16" s="27">
        <f>B4*Hypothèses!C22</f>
        <v>0</v>
      </c>
      <c r="C16" s="27">
        <f>C4*Hypothèses!C22</f>
        <v>0</v>
      </c>
      <c r="D16" s="27">
        <f>D4*Hypothèses!C22</f>
        <v>0</v>
      </c>
      <c r="E16" s="27">
        <f>E4*Hypothèses!C22</f>
        <v>0</v>
      </c>
      <c r="F16" s="27">
        <f>F4*Hypothèses!C22</f>
        <v>0</v>
      </c>
      <c r="G16" s="27">
        <f>G4*Hypothèses!C22</f>
        <v>0</v>
      </c>
      <c r="H16" s="27">
        <f>H4*Hypothèses!C22</f>
        <v>0</v>
      </c>
      <c r="I16" s="27">
        <f>I4*Hypothèses!C22</f>
        <v>0</v>
      </c>
      <c r="J16" s="27">
        <f>J4*Hypothèses!C22</f>
        <v>0</v>
      </c>
      <c r="K16" s="27">
        <f>K4*Hypothèses!C22</f>
        <v>0</v>
      </c>
      <c r="L16" s="27">
        <f>L4*Hypothèses!C22</f>
        <v>0</v>
      </c>
      <c r="M16" s="27">
        <f>M4*Hypothèses!C22</f>
        <v>0</v>
      </c>
      <c r="N16" s="27">
        <f>N4*Hypothèses!C22</f>
        <v>0</v>
      </c>
      <c r="O16" s="27">
        <f>O4*Hypothèses!C22</f>
        <v>0</v>
      </c>
      <c r="P16" s="27">
        <f>P4*Hypothèses!C22</f>
        <v>0</v>
      </c>
      <c r="Q16" s="27">
        <f>Q4*Hypothèses!C22</f>
        <v>0</v>
      </c>
      <c r="R16" s="27">
        <f>R4*Hypothèses!C22</f>
        <v>0</v>
      </c>
      <c r="S16" s="27">
        <f>S4*Hypothèses!C22</f>
        <v>0</v>
      </c>
      <c r="T16" s="27">
        <f>T4*Hypothèses!C22</f>
        <v>0</v>
      </c>
      <c r="U16" s="27">
        <f>U4*Hypothèses!C22</f>
        <v>0</v>
      </c>
      <c r="V16" s="27">
        <f>V4*Hypothèses!C22</f>
        <v>0</v>
      </c>
      <c r="W16" s="27">
        <f>W4*Hypothèses!C22</f>
        <v>0</v>
      </c>
      <c r="X16" s="27">
        <f>X4*Hypothèses!C22</f>
        <v>0</v>
      </c>
      <c r="Y16" s="27">
        <f>Y4*Hypothèses!C22</f>
        <v>0</v>
      </c>
      <c r="Z16" s="27">
        <f>Z4*Hypothèses!C22</f>
        <v>0</v>
      </c>
      <c r="AA16" s="27">
        <f>AA4*Hypothèses!C22</f>
        <v>0</v>
      </c>
      <c r="AB16" s="27">
        <f>AB4*Hypothèses!C22</f>
        <v>0</v>
      </c>
      <c r="AC16" s="27">
        <f>AC4*Hypothèses!C22</f>
        <v>0</v>
      </c>
      <c r="AD16" s="27">
        <f>AD4*Hypothèses!C22</f>
        <v>0</v>
      </c>
      <c r="AE16" s="27">
        <f>AE4*Hypothèses!C22</f>
        <v>0</v>
      </c>
      <c r="AF16" s="27">
        <f>AF4*Hypothèses!C22</f>
        <v>0</v>
      </c>
      <c r="AG16" s="27">
        <f>AG4*Hypothèses!C22</f>
        <v>0</v>
      </c>
      <c r="AH16" s="27">
        <f>AH4*Hypothèses!C22</f>
        <v>0</v>
      </c>
      <c r="AI16" s="27">
        <f>AI4*Hypothèses!C22</f>
        <v>0</v>
      </c>
      <c r="AJ16" s="27">
        <f>AJ4*Hypothèses!C22</f>
        <v>0</v>
      </c>
      <c r="AK16" s="27">
        <f>AK4*Hypothèses!C22</f>
        <v>0</v>
      </c>
    </row>
    <row r="17" spans="1:37" x14ac:dyDescent="0.2">
      <c r="A17" s="24" t="s">
        <v>52</v>
      </c>
      <c r="B17" s="27">
        <f>0</f>
        <v>0</v>
      </c>
      <c r="C17" s="27">
        <f>0</f>
        <v>0</v>
      </c>
      <c r="D17" s="27">
        <f>0</f>
        <v>0</v>
      </c>
      <c r="E17" s="27">
        <f>0</f>
        <v>0</v>
      </c>
      <c r="F17" s="27">
        <f>0</f>
        <v>0</v>
      </c>
      <c r="G17" s="27">
        <f>Hypothèses!C26*Hypothèses!C27</f>
        <v>0</v>
      </c>
      <c r="H17" s="27">
        <f>Hypothèses!C26*Hypothèses!C27</f>
        <v>0</v>
      </c>
      <c r="I17" s="27">
        <f>Hypothèses!C26*Hypothèses!C27</f>
        <v>0</v>
      </c>
      <c r="J17" s="27">
        <f>Hypothèses!C26*Hypothèses!C27</f>
        <v>0</v>
      </c>
      <c r="K17" s="27">
        <f>Hypothèses!C26*Hypothèses!C27</f>
        <v>0</v>
      </c>
      <c r="L17" s="27">
        <f>Hypothèses!C26*Hypothèses!C27</f>
        <v>0</v>
      </c>
      <c r="M17" s="27">
        <f>Hypothèses!C26*Hypothèses!C27</f>
        <v>0</v>
      </c>
      <c r="N17" s="27">
        <f>Hypothèses!C26*Hypothèses!C27</f>
        <v>0</v>
      </c>
      <c r="O17" s="27">
        <f>Hypothèses!C26*Hypothèses!C27</f>
        <v>0</v>
      </c>
      <c r="P17" s="27">
        <f>Hypothèses!C26*Hypothèses!C27</f>
        <v>0</v>
      </c>
      <c r="Q17" s="27">
        <f>Hypothèses!C26*Hypothèses!C27</f>
        <v>0</v>
      </c>
      <c r="R17" s="27">
        <f>Hypothèses!C26*Hypothèses!C27</f>
        <v>0</v>
      </c>
      <c r="S17" s="27">
        <f>Hypothèses!C26*Hypothèses!C27</f>
        <v>0</v>
      </c>
      <c r="T17" s="27">
        <f>Hypothèses!C26*Hypothèses!C27</f>
        <v>0</v>
      </c>
      <c r="U17" s="27">
        <f>Hypothèses!C26*Hypothèses!C27</f>
        <v>0</v>
      </c>
      <c r="V17" s="27">
        <f>Hypothèses!C26*Hypothèses!C27</f>
        <v>0</v>
      </c>
      <c r="W17" s="27">
        <f>Hypothèses!C26*Hypothèses!C27</f>
        <v>0</v>
      </c>
      <c r="X17" s="27">
        <f>Hypothèses!C26*Hypothèses!C27</f>
        <v>0</v>
      </c>
      <c r="Y17" s="27">
        <f>Hypothèses!C26*Hypothèses!C27</f>
        <v>0</v>
      </c>
      <c r="Z17" s="27">
        <f>Hypothèses!C26*Hypothèses!C27</f>
        <v>0</v>
      </c>
      <c r="AA17" s="27">
        <f>Hypothèses!C26*Hypothèses!C27</f>
        <v>0</v>
      </c>
      <c r="AB17" s="27">
        <f>Hypothèses!C26*Hypothèses!C27</f>
        <v>0</v>
      </c>
      <c r="AC17" s="27">
        <f>Hypothèses!C26*Hypothèses!C27</f>
        <v>0</v>
      </c>
      <c r="AD17" s="27">
        <f>Hypothèses!C26*Hypothèses!C27</f>
        <v>0</v>
      </c>
      <c r="AE17" s="27">
        <f>Hypothèses!C26*Hypothèses!C27</f>
        <v>0</v>
      </c>
      <c r="AF17" s="27">
        <f>Hypothèses!C26*Hypothèses!C27</f>
        <v>0</v>
      </c>
      <c r="AG17" s="27">
        <f>Hypothèses!C26*Hypothèses!C27</f>
        <v>0</v>
      </c>
      <c r="AH17" s="27">
        <f>Hypothèses!C26*Hypothèses!C27</f>
        <v>0</v>
      </c>
      <c r="AI17" s="27">
        <f>Hypothèses!C26*Hypothèses!C27</f>
        <v>0</v>
      </c>
      <c r="AJ17" s="27">
        <f>Hypothèses!C26*Hypothèses!C27</f>
        <v>0</v>
      </c>
      <c r="AK17" s="27">
        <f>Hypothèses!C26*Hypothèses!C27</f>
        <v>0</v>
      </c>
    </row>
    <row r="18" spans="1:37" x14ac:dyDescent="0.2">
      <c r="A18" s="26" t="s">
        <v>53</v>
      </c>
      <c r="B18" s="28">
        <f t="shared" ref="B18:AK18" si="4">SUM(B14:B17)</f>
        <v>0</v>
      </c>
      <c r="C18" s="28">
        <f t="shared" si="4"/>
        <v>0</v>
      </c>
      <c r="D18" s="28">
        <f t="shared" si="4"/>
        <v>0</v>
      </c>
      <c r="E18" s="28">
        <f t="shared" si="4"/>
        <v>0</v>
      </c>
      <c r="F18" s="28">
        <f t="shared" si="4"/>
        <v>0</v>
      </c>
      <c r="G18" s="28">
        <f t="shared" si="4"/>
        <v>0</v>
      </c>
      <c r="H18" s="28">
        <f t="shared" si="4"/>
        <v>0</v>
      </c>
      <c r="I18" s="28">
        <f t="shared" si="4"/>
        <v>0</v>
      </c>
      <c r="J18" s="28">
        <f t="shared" si="4"/>
        <v>0</v>
      </c>
      <c r="K18" s="28">
        <f t="shared" si="4"/>
        <v>0</v>
      </c>
      <c r="L18" s="28">
        <f t="shared" si="4"/>
        <v>0</v>
      </c>
      <c r="M18" s="28">
        <f t="shared" si="4"/>
        <v>0</v>
      </c>
      <c r="N18" s="28">
        <f t="shared" si="4"/>
        <v>0</v>
      </c>
      <c r="O18" s="28">
        <f t="shared" si="4"/>
        <v>0</v>
      </c>
      <c r="P18" s="28">
        <f t="shared" si="4"/>
        <v>0</v>
      </c>
      <c r="Q18" s="28">
        <f t="shared" si="4"/>
        <v>0</v>
      </c>
      <c r="R18" s="28">
        <f t="shared" si="4"/>
        <v>0</v>
      </c>
      <c r="S18" s="28">
        <f t="shared" si="4"/>
        <v>0</v>
      </c>
      <c r="T18" s="28">
        <f t="shared" si="4"/>
        <v>0</v>
      </c>
      <c r="U18" s="28">
        <f t="shared" si="4"/>
        <v>0</v>
      </c>
      <c r="V18" s="28">
        <f t="shared" si="4"/>
        <v>0</v>
      </c>
      <c r="W18" s="28">
        <f t="shared" si="4"/>
        <v>0</v>
      </c>
      <c r="X18" s="28">
        <f t="shared" si="4"/>
        <v>0</v>
      </c>
      <c r="Y18" s="28">
        <f t="shared" si="4"/>
        <v>0</v>
      </c>
      <c r="Z18" s="28">
        <f t="shared" si="4"/>
        <v>0</v>
      </c>
      <c r="AA18" s="28">
        <f t="shared" si="4"/>
        <v>0</v>
      </c>
      <c r="AB18" s="28">
        <f t="shared" si="4"/>
        <v>0</v>
      </c>
      <c r="AC18" s="28">
        <f t="shared" si="4"/>
        <v>0</v>
      </c>
      <c r="AD18" s="28">
        <f t="shared" si="4"/>
        <v>0</v>
      </c>
      <c r="AE18" s="28">
        <f t="shared" si="4"/>
        <v>0</v>
      </c>
      <c r="AF18" s="28">
        <f t="shared" si="4"/>
        <v>0</v>
      </c>
      <c r="AG18" s="28">
        <f t="shared" si="4"/>
        <v>0</v>
      </c>
      <c r="AH18" s="28">
        <f t="shared" si="4"/>
        <v>0</v>
      </c>
      <c r="AI18" s="28">
        <f t="shared" si="4"/>
        <v>0</v>
      </c>
      <c r="AJ18" s="28">
        <f t="shared" si="4"/>
        <v>0</v>
      </c>
      <c r="AK18" s="28">
        <f t="shared" si="4"/>
        <v>0</v>
      </c>
    </row>
    <row r="19" spans="1:37" x14ac:dyDescent="0.2">
      <c r="A19" s="5" t="s">
        <v>54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</row>
    <row r="20" spans="1:37" x14ac:dyDescent="0.2">
      <c r="A20" s="26" t="s">
        <v>55</v>
      </c>
      <c r="B20" s="29">
        <f t="shared" ref="B20:AK20" si="5">B12-B18</f>
        <v>2200</v>
      </c>
      <c r="C20" s="29">
        <f t="shared" si="5"/>
        <v>4400</v>
      </c>
      <c r="D20" s="29">
        <f t="shared" si="5"/>
        <v>6325</v>
      </c>
      <c r="E20" s="29">
        <f t="shared" si="5"/>
        <v>8250</v>
      </c>
      <c r="F20" s="29">
        <f t="shared" si="5"/>
        <v>9900</v>
      </c>
      <c r="G20" s="29">
        <f t="shared" si="5"/>
        <v>11550</v>
      </c>
      <c r="H20" s="29">
        <f t="shared" si="5"/>
        <v>14300</v>
      </c>
      <c r="I20" s="29">
        <f t="shared" si="5"/>
        <v>16775</v>
      </c>
      <c r="J20" s="29">
        <f t="shared" si="5"/>
        <v>19250</v>
      </c>
      <c r="K20" s="29">
        <f t="shared" si="5"/>
        <v>21450</v>
      </c>
      <c r="L20" s="29">
        <f t="shared" si="5"/>
        <v>23650</v>
      </c>
      <c r="M20" s="29">
        <f t="shared" si="5"/>
        <v>25850</v>
      </c>
      <c r="N20" s="29">
        <f t="shared" si="5"/>
        <v>29425</v>
      </c>
      <c r="O20" s="29">
        <f t="shared" si="5"/>
        <v>33000</v>
      </c>
      <c r="P20" s="29">
        <f t="shared" si="5"/>
        <v>36300</v>
      </c>
      <c r="Q20" s="29">
        <f t="shared" si="5"/>
        <v>39325</v>
      </c>
      <c r="R20" s="29">
        <f t="shared" si="5"/>
        <v>42350</v>
      </c>
      <c r="S20" s="29">
        <f t="shared" si="5"/>
        <v>45100</v>
      </c>
      <c r="T20" s="29">
        <f t="shared" si="5"/>
        <v>47850</v>
      </c>
      <c r="U20" s="29">
        <f t="shared" si="5"/>
        <v>50325</v>
      </c>
      <c r="V20" s="29">
        <f t="shared" si="5"/>
        <v>52800</v>
      </c>
      <c r="W20" s="29">
        <f t="shared" si="5"/>
        <v>55000</v>
      </c>
      <c r="X20" s="29">
        <f t="shared" si="5"/>
        <v>57200</v>
      </c>
      <c r="Y20" s="29">
        <f t="shared" si="5"/>
        <v>59400</v>
      </c>
      <c r="Z20" s="29">
        <f t="shared" si="5"/>
        <v>62425</v>
      </c>
      <c r="AA20" s="29">
        <f t="shared" si="5"/>
        <v>65450</v>
      </c>
      <c r="AB20" s="29">
        <f t="shared" si="5"/>
        <v>68200</v>
      </c>
      <c r="AC20" s="29">
        <f t="shared" si="5"/>
        <v>70950</v>
      </c>
      <c r="AD20" s="29">
        <f t="shared" si="5"/>
        <v>73425</v>
      </c>
      <c r="AE20" s="29">
        <f t="shared" si="5"/>
        <v>75900</v>
      </c>
      <c r="AF20" s="29">
        <f t="shared" si="5"/>
        <v>78100</v>
      </c>
      <c r="AG20" s="29">
        <f t="shared" si="5"/>
        <v>80300</v>
      </c>
      <c r="AH20" s="29">
        <f t="shared" si="5"/>
        <v>82225</v>
      </c>
      <c r="AI20" s="29">
        <f t="shared" si="5"/>
        <v>84150</v>
      </c>
      <c r="AJ20" s="29">
        <f t="shared" si="5"/>
        <v>86075</v>
      </c>
      <c r="AK20" s="29">
        <f t="shared" si="5"/>
        <v>87725</v>
      </c>
    </row>
    <row r="21" spans="1:37" x14ac:dyDescent="0.2">
      <c r="A21" s="24" t="s">
        <v>56</v>
      </c>
      <c r="B21" s="30">
        <f t="shared" ref="B21:AK21" si="6">IF(B12&gt;0,B20/B12,"")</f>
        <v>1</v>
      </c>
      <c r="C21" s="30">
        <f t="shared" si="6"/>
        <v>1</v>
      </c>
      <c r="D21" s="30">
        <f t="shared" si="6"/>
        <v>1</v>
      </c>
      <c r="E21" s="30">
        <f t="shared" si="6"/>
        <v>1</v>
      </c>
      <c r="F21" s="30">
        <f t="shared" si="6"/>
        <v>1</v>
      </c>
      <c r="G21" s="30">
        <f t="shared" si="6"/>
        <v>1</v>
      </c>
      <c r="H21" s="30">
        <f t="shared" si="6"/>
        <v>1</v>
      </c>
      <c r="I21" s="30">
        <f t="shared" si="6"/>
        <v>1</v>
      </c>
      <c r="J21" s="30">
        <f t="shared" si="6"/>
        <v>1</v>
      </c>
      <c r="K21" s="30">
        <f t="shared" si="6"/>
        <v>1</v>
      </c>
      <c r="L21" s="30">
        <f t="shared" si="6"/>
        <v>1</v>
      </c>
      <c r="M21" s="30">
        <f t="shared" si="6"/>
        <v>1</v>
      </c>
      <c r="N21" s="30">
        <f t="shared" si="6"/>
        <v>1</v>
      </c>
      <c r="O21" s="30">
        <f t="shared" si="6"/>
        <v>1</v>
      </c>
      <c r="P21" s="30">
        <f t="shared" si="6"/>
        <v>1</v>
      </c>
      <c r="Q21" s="30">
        <f t="shared" si="6"/>
        <v>1</v>
      </c>
      <c r="R21" s="30">
        <f t="shared" si="6"/>
        <v>1</v>
      </c>
      <c r="S21" s="30">
        <f t="shared" si="6"/>
        <v>1</v>
      </c>
      <c r="T21" s="30">
        <f t="shared" si="6"/>
        <v>1</v>
      </c>
      <c r="U21" s="30">
        <f t="shared" si="6"/>
        <v>1</v>
      </c>
      <c r="V21" s="30">
        <f t="shared" si="6"/>
        <v>1</v>
      </c>
      <c r="W21" s="30">
        <f t="shared" si="6"/>
        <v>1</v>
      </c>
      <c r="X21" s="30">
        <f t="shared" si="6"/>
        <v>1</v>
      </c>
      <c r="Y21" s="30">
        <f t="shared" si="6"/>
        <v>1</v>
      </c>
      <c r="Z21" s="30">
        <f t="shared" si="6"/>
        <v>1</v>
      </c>
      <c r="AA21" s="30">
        <f t="shared" si="6"/>
        <v>1</v>
      </c>
      <c r="AB21" s="30">
        <f t="shared" si="6"/>
        <v>1</v>
      </c>
      <c r="AC21" s="30">
        <f t="shared" si="6"/>
        <v>1</v>
      </c>
      <c r="AD21" s="30">
        <f t="shared" si="6"/>
        <v>1</v>
      </c>
      <c r="AE21" s="30">
        <f t="shared" si="6"/>
        <v>1</v>
      </c>
      <c r="AF21" s="30">
        <f t="shared" si="6"/>
        <v>1</v>
      </c>
      <c r="AG21" s="30">
        <f t="shared" si="6"/>
        <v>1</v>
      </c>
      <c r="AH21" s="30">
        <f t="shared" si="6"/>
        <v>1</v>
      </c>
      <c r="AI21" s="30">
        <f t="shared" si="6"/>
        <v>1</v>
      </c>
      <c r="AJ21" s="30">
        <f t="shared" si="6"/>
        <v>1</v>
      </c>
      <c r="AK21" s="30">
        <f t="shared" si="6"/>
        <v>1</v>
      </c>
    </row>
    <row r="22" spans="1:37" x14ac:dyDescent="0.2">
      <c r="A22" s="5" t="s">
        <v>57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37" x14ac:dyDescent="0.2">
      <c r="A23" s="24" t="s">
        <v>58</v>
      </c>
      <c r="B23" s="25">
        <f>Hypothèses!B30+Hypothèses!B31</f>
        <v>600</v>
      </c>
      <c r="C23" s="25">
        <f>B23+Hypothèses!B31</f>
        <v>1200</v>
      </c>
      <c r="D23" s="25">
        <f>C23+Hypothèses!B31</f>
        <v>1800</v>
      </c>
      <c r="E23" s="25">
        <f>D23+Hypothèses!B31</f>
        <v>2400</v>
      </c>
      <c r="F23" s="25">
        <f>E23+Hypothèses!B31</f>
        <v>3000</v>
      </c>
      <c r="G23" s="25">
        <f>F23+Hypothèses!B31</f>
        <v>3600</v>
      </c>
      <c r="H23" s="25">
        <f>G23+Hypothèses!B32</f>
        <v>5100</v>
      </c>
      <c r="I23" s="25">
        <f>H23+Hypothèses!B32</f>
        <v>6600</v>
      </c>
      <c r="J23" s="25">
        <f>I23+Hypothèses!B32</f>
        <v>8100</v>
      </c>
      <c r="K23" s="25">
        <f>J23+Hypothèses!B32</f>
        <v>9600</v>
      </c>
      <c r="L23" s="25">
        <f>K23+Hypothèses!B32</f>
        <v>11100</v>
      </c>
      <c r="M23" s="25">
        <f>L23+Hypothèses!B32</f>
        <v>12600</v>
      </c>
      <c r="N23" s="25">
        <f>M23+Hypothèses!B33</f>
        <v>16600</v>
      </c>
      <c r="O23" s="25">
        <f>N23+Hypothèses!B33</f>
        <v>20600</v>
      </c>
      <c r="P23" s="25">
        <f>O23+Hypothèses!B33</f>
        <v>24600</v>
      </c>
      <c r="Q23" s="25">
        <f>P23+Hypothèses!B33</f>
        <v>28600</v>
      </c>
      <c r="R23" s="25">
        <f>Q23+Hypothèses!B33</f>
        <v>32600</v>
      </c>
      <c r="S23" s="25">
        <f>R23+Hypothèses!B33</f>
        <v>36600</v>
      </c>
      <c r="T23" s="25">
        <f>S23+Hypothèses!B33</f>
        <v>40600</v>
      </c>
      <c r="U23" s="25">
        <f>T23+Hypothèses!B33</f>
        <v>44600</v>
      </c>
      <c r="V23" s="25">
        <f>U23+Hypothèses!B33</f>
        <v>48600</v>
      </c>
      <c r="W23" s="25">
        <f>V23+Hypothèses!B33</f>
        <v>52600</v>
      </c>
      <c r="X23" s="25">
        <f>W23+Hypothèses!B33</f>
        <v>56600</v>
      </c>
      <c r="Y23" s="25">
        <f>X23+Hypothèses!B33</f>
        <v>60600</v>
      </c>
      <c r="Z23" s="25">
        <f>Y23+Hypothèses!B33</f>
        <v>64600</v>
      </c>
      <c r="AA23" s="25">
        <f>Z23+Hypothèses!B33</f>
        <v>68600</v>
      </c>
      <c r="AB23" s="25">
        <f>AA23+Hypothèses!B33</f>
        <v>72600</v>
      </c>
      <c r="AC23" s="25">
        <f>AB23+Hypothèses!B33</f>
        <v>76600</v>
      </c>
      <c r="AD23" s="25">
        <f>AC23+Hypothèses!B33</f>
        <v>80600</v>
      </c>
      <c r="AE23" s="25">
        <f>AD23+Hypothèses!B33</f>
        <v>84600</v>
      </c>
      <c r="AF23" s="25">
        <f>AE23+Hypothèses!B33</f>
        <v>88600</v>
      </c>
      <c r="AG23" s="25">
        <f>AF23+Hypothèses!B33</f>
        <v>92600</v>
      </c>
      <c r="AH23" s="25">
        <f>AG23+Hypothèses!B33</f>
        <v>96600</v>
      </c>
      <c r="AI23" s="25">
        <f>AH23+Hypothèses!B33</f>
        <v>100600</v>
      </c>
      <c r="AJ23" s="25">
        <f>AI23+Hypothèses!B33</f>
        <v>104600</v>
      </c>
      <c r="AK23" s="25">
        <f>AJ23+Hypothèses!B33</f>
        <v>108600</v>
      </c>
    </row>
    <row r="24" spans="1:37" x14ac:dyDescent="0.2">
      <c r="A24" s="24" t="s">
        <v>59</v>
      </c>
      <c r="B24" s="25">
        <f>B23*Hypothèses!B34</f>
        <v>720</v>
      </c>
      <c r="C24" s="25">
        <f>C23*Hypothèses!B34</f>
        <v>1440</v>
      </c>
      <c r="D24" s="25">
        <f>D23*Hypothèses!B34</f>
        <v>2160</v>
      </c>
      <c r="E24" s="25">
        <f>E23*Hypothèses!B34</f>
        <v>2880</v>
      </c>
      <c r="F24" s="25">
        <f>F23*Hypothèses!B34</f>
        <v>3600</v>
      </c>
      <c r="G24" s="25">
        <f>G23*Hypothèses!B34</f>
        <v>4320</v>
      </c>
      <c r="H24" s="25">
        <f>H23*Hypothèses!B34</f>
        <v>6120</v>
      </c>
      <c r="I24" s="25">
        <f>I23*Hypothèses!B34</f>
        <v>7920</v>
      </c>
      <c r="J24" s="25">
        <f>J23*Hypothèses!B34</f>
        <v>9720</v>
      </c>
      <c r="K24" s="25">
        <f>K23*Hypothèses!B34</f>
        <v>11520</v>
      </c>
      <c r="L24" s="25">
        <f>L23*Hypothèses!B34</f>
        <v>13320</v>
      </c>
      <c r="M24" s="25">
        <f>M23*Hypothèses!B34</f>
        <v>15120</v>
      </c>
      <c r="N24" s="25">
        <f>N23*Hypothèses!B34</f>
        <v>19920</v>
      </c>
      <c r="O24" s="25">
        <f>O23*Hypothèses!B34</f>
        <v>24720</v>
      </c>
      <c r="P24" s="25">
        <f>P23*Hypothèses!B34</f>
        <v>29520</v>
      </c>
      <c r="Q24" s="25">
        <f>Q23*Hypothèses!B34</f>
        <v>34320</v>
      </c>
      <c r="R24" s="25">
        <f>R23*Hypothèses!B34</f>
        <v>39120</v>
      </c>
      <c r="S24" s="25">
        <f>S23*Hypothèses!B34</f>
        <v>43920</v>
      </c>
      <c r="T24" s="25">
        <f>T23*Hypothèses!B34</f>
        <v>48720</v>
      </c>
      <c r="U24" s="25">
        <f>U23*Hypothèses!B34</f>
        <v>53520</v>
      </c>
      <c r="V24" s="25">
        <f>V23*Hypothèses!B34</f>
        <v>58320</v>
      </c>
      <c r="W24" s="25">
        <f>W23*Hypothèses!B34</f>
        <v>63120</v>
      </c>
      <c r="X24" s="25">
        <f>X23*Hypothèses!B34</f>
        <v>67920</v>
      </c>
      <c r="Y24" s="25">
        <f>Y23*Hypothèses!B34</f>
        <v>72720</v>
      </c>
      <c r="Z24" s="25">
        <f>Z23*Hypothèses!B34</f>
        <v>77520</v>
      </c>
      <c r="AA24" s="25">
        <f>AA23*Hypothèses!B34</f>
        <v>82320</v>
      </c>
      <c r="AB24" s="25">
        <f>AB23*Hypothèses!B34</f>
        <v>87120</v>
      </c>
      <c r="AC24" s="25">
        <f>AC23*Hypothèses!B34</f>
        <v>91920</v>
      </c>
      <c r="AD24" s="25">
        <f>AD23*Hypothèses!B34</f>
        <v>96720</v>
      </c>
      <c r="AE24" s="25">
        <f>AE23*Hypothèses!B34</f>
        <v>101520</v>
      </c>
      <c r="AF24" s="25">
        <f>AF23*Hypothèses!B34</f>
        <v>106320</v>
      </c>
      <c r="AG24" s="25">
        <f>AG23*Hypothèses!B34</f>
        <v>111120</v>
      </c>
      <c r="AH24" s="25">
        <f>AH23*Hypothèses!B34</f>
        <v>115920</v>
      </c>
      <c r="AI24" s="25">
        <f>AI23*Hypothèses!B34</f>
        <v>120720</v>
      </c>
      <c r="AJ24" s="25">
        <f>AJ23*Hypothèses!B34</f>
        <v>125520</v>
      </c>
      <c r="AK24" s="25">
        <f>AK23*Hypothèses!B34</f>
        <v>130320</v>
      </c>
    </row>
    <row r="25" spans="1:37" x14ac:dyDescent="0.2">
      <c r="A25" s="24" t="s">
        <v>60</v>
      </c>
      <c r="B25" s="27">
        <f>IF(Hypothèses!B17&gt;0,Hypothèses!B37/Hypothèses!B17,0)</f>
        <v>5000</v>
      </c>
      <c r="C25" s="27">
        <f>IF(Hypothèses!B17&gt;0,Hypothèses!B37/Hypothèses!B17,0)</f>
        <v>5000</v>
      </c>
      <c r="D25" s="27">
        <f>IF(Hypothèses!B17&gt;0,Hypothèses!B37/Hypothèses!B17,0)</f>
        <v>5000</v>
      </c>
      <c r="E25" s="27">
        <f>IF(Hypothèses!B17&gt;0,Hypothèses!B37/Hypothèses!B17,0)</f>
        <v>5000</v>
      </c>
      <c r="F25" s="27">
        <f>IF(Hypothèses!B17&gt;0,Hypothèses!B37/Hypothèses!B17,0)</f>
        <v>5000</v>
      </c>
      <c r="G25" s="27">
        <f>IF(Hypothèses!B17&gt;0,Hypothèses!B37/Hypothèses!B17,0)</f>
        <v>5000</v>
      </c>
      <c r="H25" s="27">
        <f>IF(Hypothèses!B17&gt;0,Hypothèses!B37/Hypothèses!B17,0)</f>
        <v>5000</v>
      </c>
      <c r="I25" s="27">
        <f>IF(Hypothèses!B17&gt;0,Hypothèses!B37/Hypothèses!B17,0)</f>
        <v>5000</v>
      </c>
      <c r="J25" s="27">
        <f>IF(Hypothèses!B17&gt;0,Hypothèses!B37/Hypothèses!B17,0)</f>
        <v>5000</v>
      </c>
      <c r="K25" s="27">
        <f>IF(Hypothèses!B17&gt;0,Hypothèses!B37/Hypothèses!B17,0)</f>
        <v>5000</v>
      </c>
      <c r="L25" s="27">
        <f>IF(Hypothèses!B17&gt;0,Hypothèses!B37/Hypothèses!B17,0)</f>
        <v>5000</v>
      </c>
      <c r="M25" s="27">
        <f>IF(Hypothèses!B17&gt;0,Hypothèses!B37/Hypothèses!B17,0)</f>
        <v>5000</v>
      </c>
      <c r="N25" s="27">
        <f>IF(Hypothèses!B17&gt;0,Hypothèses!B37/Hypothèses!B17,0)</f>
        <v>5000</v>
      </c>
      <c r="O25" s="27">
        <f>IF(Hypothèses!B17&gt;0,Hypothèses!B37/Hypothèses!B17,0)</f>
        <v>5000</v>
      </c>
      <c r="P25" s="27">
        <f>IF(Hypothèses!B17&gt;0,Hypothèses!B37/Hypothèses!B17,0)</f>
        <v>5000</v>
      </c>
      <c r="Q25" s="27">
        <f>IF(Hypothèses!B17&gt;0,Hypothèses!B37/Hypothèses!B17,0)</f>
        <v>5000</v>
      </c>
      <c r="R25" s="27">
        <f>IF(Hypothèses!B17&gt;0,Hypothèses!B37/Hypothèses!B17,0)</f>
        <v>5000</v>
      </c>
      <c r="S25" s="27">
        <f>IF(Hypothèses!B17&gt;0,Hypothèses!B37/Hypothèses!B17,0)</f>
        <v>5000</v>
      </c>
      <c r="T25" s="27">
        <f>IF(Hypothèses!B17&gt;0,Hypothèses!B37/Hypothèses!B17,0)</f>
        <v>5000</v>
      </c>
      <c r="U25" s="27">
        <f>IF(Hypothèses!B17&gt;0,Hypothèses!B37/Hypothèses!B17,0)</f>
        <v>5000</v>
      </c>
      <c r="V25" s="27">
        <f>IF(Hypothèses!B17&gt;0,Hypothèses!B37/Hypothèses!B17,0)</f>
        <v>5000</v>
      </c>
      <c r="W25" s="27">
        <f>IF(Hypothèses!B17&gt;0,Hypothèses!B37/Hypothèses!B17,0)</f>
        <v>5000</v>
      </c>
      <c r="X25" s="27">
        <f>IF(Hypothèses!B17&gt;0,Hypothèses!B37/Hypothèses!B17,0)</f>
        <v>5000</v>
      </c>
      <c r="Y25" s="27">
        <f>IF(Hypothèses!B17&gt;0,Hypothèses!B37/Hypothèses!B17,0)</f>
        <v>5000</v>
      </c>
      <c r="Z25" s="27">
        <f>IF(Hypothèses!B17&gt;0,Hypothèses!B37/Hypothèses!B17,0)</f>
        <v>5000</v>
      </c>
      <c r="AA25" s="27">
        <f>IF(Hypothèses!B17&gt;0,Hypothèses!B37/Hypothèses!B17,0)</f>
        <v>5000</v>
      </c>
      <c r="AB25" s="27">
        <f>IF(Hypothèses!B17&gt;0,Hypothèses!B37/Hypothèses!B17,0)</f>
        <v>5000</v>
      </c>
      <c r="AC25" s="27">
        <f>IF(Hypothèses!B17&gt;0,Hypothèses!B37/Hypothèses!B17,0)</f>
        <v>5000</v>
      </c>
      <c r="AD25" s="27">
        <f>IF(Hypothèses!B17&gt;0,Hypothèses!B37/Hypothèses!B17,0)</f>
        <v>5000</v>
      </c>
      <c r="AE25" s="27">
        <f>IF(Hypothèses!B17&gt;0,Hypothèses!B37/Hypothèses!B17,0)</f>
        <v>5000</v>
      </c>
      <c r="AF25" s="27">
        <f>IF(Hypothèses!B17&gt;0,Hypothèses!B37/Hypothèses!B17,0)</f>
        <v>5000</v>
      </c>
      <c r="AG25" s="27">
        <f>IF(Hypothèses!B17&gt;0,Hypothèses!B37/Hypothèses!B17,0)</f>
        <v>5000</v>
      </c>
      <c r="AH25" s="27">
        <f>IF(Hypothèses!B17&gt;0,Hypothèses!B37/Hypothèses!B17,0)</f>
        <v>5000</v>
      </c>
      <c r="AI25" s="27">
        <f>IF(Hypothèses!B17&gt;0,Hypothèses!B37/Hypothèses!B17,0)</f>
        <v>5000</v>
      </c>
      <c r="AJ25" s="27">
        <f>IF(Hypothèses!B17&gt;0,Hypothèses!B37/Hypothèses!B17,0)</f>
        <v>5000</v>
      </c>
      <c r="AK25" s="27">
        <f>IF(Hypothèses!B17&gt;0,Hypothèses!B37/Hypothèses!B17,0)</f>
        <v>5000</v>
      </c>
    </row>
    <row r="26" spans="1:37" x14ac:dyDescent="0.2">
      <c r="A26" s="24" t="s">
        <v>61</v>
      </c>
      <c r="B26" s="31">
        <f>IF(Hypothèses!C22&gt;0,B25/Hypothèses!C22,0)</f>
        <v>0</v>
      </c>
      <c r="C26" s="31">
        <f>IF(Hypothèses!C22&gt;0,C25/Hypothèses!C22,0)</f>
        <v>0</v>
      </c>
      <c r="D26" s="31">
        <f>IF(Hypothèses!C22&gt;0,D25/Hypothèses!C22,0)</f>
        <v>0</v>
      </c>
      <c r="E26" s="31">
        <f>IF(Hypothèses!C22&gt;0,E25/Hypothèses!C22,0)</f>
        <v>0</v>
      </c>
      <c r="F26" s="31">
        <f>IF(Hypothèses!C22&gt;0,F25/Hypothèses!C22,0)</f>
        <v>0</v>
      </c>
      <c r="G26" s="31">
        <f>IF(Hypothèses!C22&gt;0,G25/Hypothèses!C22,0)</f>
        <v>0</v>
      </c>
      <c r="H26" s="31">
        <f>IF(Hypothèses!C22&gt;0,H25/Hypothèses!C22,0)</f>
        <v>0</v>
      </c>
      <c r="I26" s="31">
        <f>IF(Hypothèses!C22&gt;0,I25/Hypothèses!C22,0)</f>
        <v>0</v>
      </c>
      <c r="J26" s="31">
        <f>IF(Hypothèses!C22&gt;0,J25/Hypothèses!C22,0)</f>
        <v>0</v>
      </c>
      <c r="K26" s="31">
        <f>IF(Hypothèses!C22&gt;0,K25/Hypothèses!C22,0)</f>
        <v>0</v>
      </c>
      <c r="L26" s="31">
        <f>IF(Hypothèses!C22&gt;0,L25/Hypothèses!C22,0)</f>
        <v>0</v>
      </c>
      <c r="M26" s="31">
        <f>IF(Hypothèses!C22&gt;0,M25/Hypothèses!C22,0)</f>
        <v>0</v>
      </c>
      <c r="N26" s="31">
        <f>IF(Hypothèses!C22&gt;0,N25/Hypothèses!C22,0)</f>
        <v>0</v>
      </c>
      <c r="O26" s="31">
        <f>IF(Hypothèses!C22&gt;0,O25/Hypothèses!C22,0)</f>
        <v>0</v>
      </c>
      <c r="P26" s="31">
        <f>IF(Hypothèses!C22&gt;0,P25/Hypothèses!C22,0)</f>
        <v>0</v>
      </c>
      <c r="Q26" s="31">
        <f>IF(Hypothèses!C22&gt;0,Q25/Hypothèses!C22,0)</f>
        <v>0</v>
      </c>
      <c r="R26" s="31">
        <f>IF(Hypothèses!C22&gt;0,R25/Hypothèses!C22,0)</f>
        <v>0</v>
      </c>
      <c r="S26" s="31">
        <f>IF(Hypothèses!C22&gt;0,S25/Hypothèses!C22,0)</f>
        <v>0</v>
      </c>
      <c r="T26" s="31">
        <f>IF(Hypothèses!C22&gt;0,T25/Hypothèses!C22,0)</f>
        <v>0</v>
      </c>
      <c r="U26" s="31">
        <f>IF(Hypothèses!C22&gt;0,U25/Hypothèses!C22,0)</f>
        <v>0</v>
      </c>
      <c r="V26" s="31">
        <f>IF(Hypothèses!C22&gt;0,V25/Hypothèses!C22,0)</f>
        <v>0</v>
      </c>
      <c r="W26" s="31">
        <f>IF(Hypothèses!C22&gt;0,W25/Hypothèses!C22,0)</f>
        <v>0</v>
      </c>
      <c r="X26" s="31">
        <f>IF(Hypothèses!C22&gt;0,X25/Hypothèses!C22,0)</f>
        <v>0</v>
      </c>
      <c r="Y26" s="31">
        <f>IF(Hypothèses!C22&gt;0,Y25/Hypothèses!C22,0)</f>
        <v>0</v>
      </c>
      <c r="Z26" s="31">
        <f>IF(Hypothèses!C22&gt;0,Z25/Hypothèses!C22,0)</f>
        <v>0</v>
      </c>
      <c r="AA26" s="31">
        <f>IF(Hypothèses!C22&gt;0,AA25/Hypothèses!C22,0)</f>
        <v>0</v>
      </c>
      <c r="AB26" s="31">
        <f>IF(Hypothèses!C22&gt;0,AB25/Hypothèses!C22,0)</f>
        <v>0</v>
      </c>
      <c r="AC26" s="31">
        <f>IF(Hypothèses!C22&gt;0,AC25/Hypothèses!C22,0)</f>
        <v>0</v>
      </c>
      <c r="AD26" s="31">
        <f>IF(Hypothèses!C22&gt;0,AD25/Hypothèses!C22,0)</f>
        <v>0</v>
      </c>
      <c r="AE26" s="31">
        <f>IF(Hypothèses!C22&gt;0,AE25/Hypothèses!C22,0)</f>
        <v>0</v>
      </c>
      <c r="AF26" s="31">
        <f>IF(Hypothèses!C22&gt;0,AF25/Hypothèses!C22,0)</f>
        <v>0</v>
      </c>
      <c r="AG26" s="31">
        <f>IF(Hypothèses!C22&gt;0,AG25/Hypothèses!C22,0)</f>
        <v>0</v>
      </c>
      <c r="AH26" s="31">
        <f>IF(Hypothèses!C22&gt;0,AH25/Hypothèses!C22,0)</f>
        <v>0</v>
      </c>
      <c r="AI26" s="31">
        <f>IF(Hypothèses!C22&gt;0,AI25/Hypothèses!C22,0)</f>
        <v>0</v>
      </c>
      <c r="AJ26" s="31">
        <f>IF(Hypothèses!C22&gt;0,AJ25/Hypothèses!C22,0)</f>
        <v>0</v>
      </c>
      <c r="AK26" s="31">
        <f>IF(Hypothèses!C22&gt;0,AK25/Hypothèses!C22,0)</f>
        <v>0</v>
      </c>
    </row>
  </sheetData>
  <mergeCells count="6">
    <mergeCell ref="A22:AK22"/>
    <mergeCell ref="A1:AN1"/>
    <mergeCell ref="A3:AK3"/>
    <mergeCell ref="A7:AK7"/>
    <mergeCell ref="A13:AK13"/>
    <mergeCell ref="A19:AK19"/>
  </mergeCells>
  <conditionalFormatting sqref="B20:AK20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59E0B"/>
  </sheetPr>
  <dimension ref="A1:H22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35" customWidth="1"/>
    <col min="2" max="5" width="20" customWidth="1"/>
  </cols>
  <sheetData>
    <row r="1" spans="1:8" ht="17" x14ac:dyDescent="0.2">
      <c r="A1" s="4" t="s">
        <v>62</v>
      </c>
      <c r="B1" s="4"/>
      <c r="C1" s="4"/>
      <c r="D1" s="4"/>
      <c r="E1" s="4"/>
      <c r="F1" s="4"/>
      <c r="G1" s="4"/>
      <c r="H1" s="4"/>
    </row>
    <row r="3" spans="1:8" x14ac:dyDescent="0.2">
      <c r="A3" s="32" t="s">
        <v>63</v>
      </c>
      <c r="B3" s="33" t="s">
        <v>64</v>
      </c>
      <c r="C3" s="34" t="s">
        <v>65</v>
      </c>
      <c r="D3" s="35" t="s">
        <v>66</v>
      </c>
    </row>
    <row r="4" spans="1:8" x14ac:dyDescent="0.2">
      <c r="A4" s="36" t="s">
        <v>67</v>
      </c>
      <c r="B4" s="37">
        <f>MAX('Projections Mensuelles'!B6:M6)</f>
        <v>94</v>
      </c>
      <c r="C4" s="37">
        <f>MAX('Projections Mensuelles'!N6:Y6)</f>
        <v>216</v>
      </c>
      <c r="D4" s="37">
        <f>MAX('Projections Mensuelles'!Z6:AK6)</f>
        <v>319</v>
      </c>
    </row>
    <row r="5" spans="1:8" x14ac:dyDescent="0.2">
      <c r="A5" s="38" t="s">
        <v>40</v>
      </c>
      <c r="B5" s="37">
        <f>SUM('Projections Mensuelles'!B4:M4)</f>
        <v>120</v>
      </c>
      <c r="C5" s="37">
        <f>SUM('Projections Mensuelles'!N4:Y4)</f>
        <v>216</v>
      </c>
      <c r="D5" s="37">
        <f>SUM('Projections Mensuelles'!Z4:AK4)</f>
        <v>264</v>
      </c>
    </row>
    <row r="6" spans="1:8" x14ac:dyDescent="0.2">
      <c r="A6" s="36" t="s">
        <v>68</v>
      </c>
      <c r="B6" s="39">
        <f>MAX('Projections Mensuelles'!B8:M8)</f>
        <v>23500</v>
      </c>
      <c r="C6" s="39">
        <f>MAX('Projections Mensuelles'!N8:Y8)</f>
        <v>54000</v>
      </c>
      <c r="D6" s="39">
        <f>MAX('Projections Mensuelles'!Z8:AK8)</f>
        <v>79750</v>
      </c>
    </row>
    <row r="7" spans="1:8" x14ac:dyDescent="0.2">
      <c r="A7" s="40" t="s">
        <v>69</v>
      </c>
      <c r="B7" s="29">
        <f>MAX('Projections Mensuelles'!B9:M9)</f>
        <v>282000</v>
      </c>
      <c r="C7" s="29">
        <f>MAX('Projections Mensuelles'!N9:Y9)</f>
        <v>648000</v>
      </c>
      <c r="D7" s="29">
        <f>MAX('Projections Mensuelles'!Z9:AK9)</f>
        <v>957000</v>
      </c>
    </row>
    <row r="8" spans="1:8" x14ac:dyDescent="0.2">
      <c r="A8" s="10" t="s">
        <v>70</v>
      </c>
      <c r="B8" s="39">
        <f>SUM('Projections Mensuelles'!B12:M12)</f>
        <v>163900</v>
      </c>
      <c r="C8" s="39">
        <f>SUM('Projections Mensuelles'!N12:Y12)</f>
        <v>548075</v>
      </c>
      <c r="D8" s="39">
        <f>SUM('Projections Mensuelles'!Z12:AK12)</f>
        <v>914925</v>
      </c>
    </row>
    <row r="9" spans="1:8" x14ac:dyDescent="0.2">
      <c r="A9" s="38" t="s">
        <v>71</v>
      </c>
      <c r="B9" s="39">
        <f>SUM('Projections Mensuelles'!B18:M18)</f>
        <v>0</v>
      </c>
      <c r="C9" s="39">
        <f>SUM('Projections Mensuelles'!N18:Y18)</f>
        <v>0</v>
      </c>
      <c r="D9" s="39">
        <f>SUM('Projections Mensuelles'!Z18:AK18)</f>
        <v>0</v>
      </c>
    </row>
    <row r="10" spans="1:8" x14ac:dyDescent="0.2">
      <c r="A10" s="10" t="s">
        <v>55</v>
      </c>
      <c r="B10" s="29">
        <f>SUM('Projections Mensuelles'!B20:M20)</f>
        <v>163900</v>
      </c>
      <c r="C10" s="29">
        <f>SUM('Projections Mensuelles'!N20:Y20)</f>
        <v>548075</v>
      </c>
      <c r="D10" s="29">
        <f>SUM('Projections Mensuelles'!Z20:AK20)</f>
        <v>914925</v>
      </c>
    </row>
    <row r="11" spans="1:8" x14ac:dyDescent="0.2">
      <c r="A11" s="38" t="s">
        <v>56</v>
      </c>
      <c r="B11" s="41">
        <f>IF(B8&gt;0,B10/B8,"")</f>
        <v>1</v>
      </c>
      <c r="C11" s="41">
        <f>IF(C8&gt;0,C10/C8,"")</f>
        <v>1</v>
      </c>
      <c r="D11" s="41">
        <f>IF(D8&gt;0,D10/D8,"")</f>
        <v>1</v>
      </c>
    </row>
    <row r="12" spans="1:8" x14ac:dyDescent="0.2">
      <c r="A12" s="36" t="s">
        <v>72</v>
      </c>
      <c r="B12" s="37">
        <f>MAX('Projections Mensuelles'!B23:M23)</f>
        <v>12600</v>
      </c>
      <c r="C12" s="37">
        <f>MAX('Projections Mensuelles'!N23:Y23)</f>
        <v>60600</v>
      </c>
      <c r="D12" s="37">
        <f>MAX('Projections Mensuelles'!Z23:AK23)</f>
        <v>108600</v>
      </c>
    </row>
    <row r="13" spans="1:8" x14ac:dyDescent="0.2">
      <c r="A13" s="38" t="s">
        <v>73</v>
      </c>
      <c r="B13" s="39">
        <f>MAX('Projections Mensuelles'!B25:M25)</f>
        <v>5000</v>
      </c>
      <c r="C13" s="39">
        <f>MAX('Projections Mensuelles'!N25:Y25)</f>
        <v>5000</v>
      </c>
      <c r="D13" s="39">
        <f>MAX('Projections Mensuelles'!Z25:AK25)</f>
        <v>5000</v>
      </c>
    </row>
    <row r="14" spans="1:8" x14ac:dyDescent="0.2">
      <c r="A14" s="36" t="s">
        <v>61</v>
      </c>
      <c r="B14" s="42">
        <f>MAX('Projections Mensuelles'!B26:M26)</f>
        <v>0</v>
      </c>
      <c r="C14" s="42">
        <f>MAX('Projections Mensuelles'!N26:Y26)</f>
        <v>0</v>
      </c>
      <c r="D14" s="42">
        <f>MAX('Projections Mensuelles'!Z26:AK26)</f>
        <v>0</v>
      </c>
    </row>
    <row r="16" spans="1:8" x14ac:dyDescent="0.2">
      <c r="A16" t="s">
        <v>74</v>
      </c>
      <c r="B16" t="s">
        <v>44</v>
      </c>
      <c r="C16" t="s">
        <v>75</v>
      </c>
      <c r="D16" t="s">
        <v>55</v>
      </c>
    </row>
    <row r="17" spans="1:4" x14ac:dyDescent="0.2">
      <c r="A17" s="43" t="s">
        <v>76</v>
      </c>
      <c r="B17" s="44">
        <f>'Projections Mensuelles'!G8</f>
        <v>10500</v>
      </c>
      <c r="C17" s="45">
        <f>'Projections Mensuelles'!G6</f>
        <v>42</v>
      </c>
      <c r="D17" s="44">
        <f>'Projections Mensuelles'!G20</f>
        <v>11550</v>
      </c>
    </row>
    <row r="18" spans="1:4" x14ac:dyDescent="0.2">
      <c r="A18" s="43" t="s">
        <v>77</v>
      </c>
      <c r="B18" s="44">
        <f>'Projections Mensuelles'!M8</f>
        <v>23500</v>
      </c>
      <c r="C18" s="45">
        <f>'Projections Mensuelles'!M6</f>
        <v>94</v>
      </c>
      <c r="D18" s="44">
        <f>'Projections Mensuelles'!M20</f>
        <v>25850</v>
      </c>
    </row>
    <row r="19" spans="1:4" x14ac:dyDescent="0.2">
      <c r="A19" s="43" t="s">
        <v>78</v>
      </c>
      <c r="B19" s="44">
        <f>'Projections Mensuelles'!S8</f>
        <v>41000</v>
      </c>
      <c r="C19" s="45">
        <f>'Projections Mensuelles'!S6</f>
        <v>164</v>
      </c>
      <c r="D19" s="44">
        <f>'Projections Mensuelles'!S20</f>
        <v>45100</v>
      </c>
    </row>
    <row r="20" spans="1:4" x14ac:dyDescent="0.2">
      <c r="A20" s="43" t="s">
        <v>79</v>
      </c>
      <c r="B20" s="44">
        <f>'Projections Mensuelles'!Y8</f>
        <v>54000</v>
      </c>
      <c r="C20" s="45">
        <f>'Projections Mensuelles'!Y6</f>
        <v>216</v>
      </c>
      <c r="D20" s="44">
        <f>'Projections Mensuelles'!Y20</f>
        <v>59400</v>
      </c>
    </row>
    <row r="21" spans="1:4" x14ac:dyDescent="0.2">
      <c r="A21" s="43" t="s">
        <v>80</v>
      </c>
      <c r="B21" s="44">
        <f>'Projections Mensuelles'!AE8</f>
        <v>69000</v>
      </c>
      <c r="C21" s="45">
        <f>'Projections Mensuelles'!AE6</f>
        <v>276</v>
      </c>
      <c r="D21" s="44">
        <f>'Projections Mensuelles'!AE20</f>
        <v>75900</v>
      </c>
    </row>
    <row r="22" spans="1:4" x14ac:dyDescent="0.2">
      <c r="A22" s="43" t="s">
        <v>81</v>
      </c>
      <c r="B22" s="44">
        <f>'Projections Mensuelles'!AK8</f>
        <v>79750</v>
      </c>
      <c r="C22" s="45">
        <f>'Projections Mensuelles'!AK6</f>
        <v>319</v>
      </c>
      <c r="D22" s="44">
        <f>'Projections Mensuelles'!AK20</f>
        <v>87725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44AD"/>
  </sheetPr>
  <dimension ref="A1:J23"/>
  <sheetViews>
    <sheetView showGridLines="0" zoomScaleNormal="100" workbookViewId="0"/>
  </sheetViews>
  <sheetFormatPr baseColWidth="10" defaultColWidth="8.6640625" defaultRowHeight="15" x14ac:dyDescent="0.2"/>
  <cols>
    <col min="1" max="1" width="32" customWidth="1"/>
    <col min="2" max="6" width="22" customWidth="1"/>
  </cols>
  <sheetData>
    <row r="1" spans="1:10" ht="16" x14ac:dyDescent="0.2">
      <c r="A1" s="2" t="s">
        <v>82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2">
      <c r="A2" s="1" t="s">
        <v>83</v>
      </c>
      <c r="B2" s="1"/>
      <c r="C2" s="1"/>
      <c r="D2" s="1"/>
      <c r="E2" s="1"/>
      <c r="F2" s="1"/>
      <c r="G2" s="1"/>
      <c r="H2" s="1"/>
      <c r="I2" s="1"/>
      <c r="J2" s="1"/>
    </row>
    <row r="4" spans="1:10" ht="39.75" customHeight="1" x14ac:dyDescent="0.2">
      <c r="A4" s="46" t="s">
        <v>63</v>
      </c>
      <c r="B4" s="9" t="s">
        <v>84</v>
      </c>
      <c r="C4" s="47" t="s">
        <v>85</v>
      </c>
      <c r="D4" s="48" t="s">
        <v>86</v>
      </c>
      <c r="E4" s="49" t="s">
        <v>87</v>
      </c>
      <c r="F4" s="50" t="s">
        <v>88</v>
      </c>
    </row>
    <row r="5" spans="1:10" x14ac:dyDescent="0.2">
      <c r="A5" s="51" t="s">
        <v>89</v>
      </c>
      <c r="B5" s="52"/>
      <c r="C5" s="53"/>
      <c r="D5" s="54"/>
      <c r="E5" s="55"/>
      <c r="F5" s="55"/>
    </row>
    <row r="6" spans="1:10" x14ac:dyDescent="0.2">
      <c r="A6" s="24" t="s">
        <v>90</v>
      </c>
      <c r="B6" s="52">
        <v>149</v>
      </c>
      <c r="C6" s="53">
        <v>119</v>
      </c>
      <c r="D6" s="54">
        <v>164</v>
      </c>
      <c r="E6" s="55"/>
      <c r="F6" s="55"/>
    </row>
    <row r="7" spans="1:10" x14ac:dyDescent="0.2">
      <c r="A7" s="24" t="s">
        <v>91</v>
      </c>
      <c r="B7" s="52">
        <v>349</v>
      </c>
      <c r="C7" s="53">
        <v>279</v>
      </c>
      <c r="D7" s="54">
        <v>384</v>
      </c>
      <c r="E7" s="55"/>
      <c r="F7" s="55"/>
    </row>
    <row r="8" spans="1:10" x14ac:dyDescent="0.2">
      <c r="A8" s="24" t="s">
        <v>92</v>
      </c>
      <c r="B8" s="52">
        <v>699</v>
      </c>
      <c r="C8" s="53">
        <v>559</v>
      </c>
      <c r="D8" s="54">
        <v>769</v>
      </c>
      <c r="E8" s="55"/>
      <c r="F8" s="55"/>
    </row>
    <row r="9" spans="1:10" x14ac:dyDescent="0.2">
      <c r="A9" s="24" t="s">
        <v>93</v>
      </c>
      <c r="B9" s="52" t="s">
        <v>94</v>
      </c>
      <c r="C9" s="53" t="s">
        <v>95</v>
      </c>
      <c r="D9" s="54" t="s">
        <v>96</v>
      </c>
      <c r="E9" s="55"/>
      <c r="F9" s="55"/>
    </row>
    <row r="10" spans="1:10" x14ac:dyDescent="0.2">
      <c r="A10" s="24" t="s">
        <v>97</v>
      </c>
      <c r="B10" s="52">
        <v>249</v>
      </c>
      <c r="C10" s="53">
        <v>199</v>
      </c>
      <c r="D10" s="54">
        <v>274</v>
      </c>
      <c r="E10" s="55"/>
      <c r="F10" s="55"/>
    </row>
    <row r="11" spans="1:10" x14ac:dyDescent="0.2">
      <c r="A11" s="24" t="s">
        <v>98</v>
      </c>
      <c r="B11" s="52" t="s">
        <v>99</v>
      </c>
      <c r="C11" s="53" t="s">
        <v>100</v>
      </c>
      <c r="D11" s="54" t="s">
        <v>101</v>
      </c>
      <c r="E11" s="55"/>
      <c r="F11" s="55"/>
    </row>
    <row r="12" spans="1:10" x14ac:dyDescent="0.2">
      <c r="A12" s="24" t="s">
        <v>102</v>
      </c>
      <c r="B12" s="52">
        <v>1500</v>
      </c>
      <c r="C12" s="53">
        <v>2000</v>
      </c>
      <c r="D12" s="54">
        <v>1200</v>
      </c>
      <c r="E12" s="55"/>
      <c r="F12" s="55"/>
    </row>
    <row r="13" spans="1:10" x14ac:dyDescent="0.2">
      <c r="A13" s="24" t="s">
        <v>103</v>
      </c>
      <c r="B13" s="52">
        <v>8</v>
      </c>
      <c r="C13" s="53">
        <v>5</v>
      </c>
      <c r="D13" s="54">
        <v>12</v>
      </c>
      <c r="E13" s="55"/>
      <c r="F13" s="55"/>
    </row>
    <row r="14" spans="1:10" x14ac:dyDescent="0.2">
      <c r="A14" s="51" t="s">
        <v>104</v>
      </c>
      <c r="B14" s="52"/>
      <c r="C14" s="53"/>
      <c r="D14" s="54"/>
      <c r="E14" s="55"/>
      <c r="F14" s="55"/>
    </row>
    <row r="15" spans="1:10" x14ac:dyDescent="0.2">
      <c r="A15" s="24" t="s">
        <v>105</v>
      </c>
      <c r="B15" s="52">
        <v>500</v>
      </c>
      <c r="C15" s="53">
        <v>280</v>
      </c>
      <c r="D15" s="54">
        <v>750</v>
      </c>
      <c r="E15" s="55"/>
      <c r="F15" s="55"/>
    </row>
    <row r="16" spans="1:10" x14ac:dyDescent="0.2">
      <c r="A16" s="24" t="s">
        <v>106</v>
      </c>
      <c r="B16" s="52">
        <v>124500</v>
      </c>
      <c r="C16" s="53">
        <v>55720</v>
      </c>
      <c r="D16" s="54">
        <v>205500</v>
      </c>
      <c r="E16" s="55"/>
      <c r="F16" s="55"/>
    </row>
    <row r="17" spans="1:6" x14ac:dyDescent="0.2">
      <c r="A17" s="24" t="s">
        <v>107</v>
      </c>
      <c r="B17" s="52" t="s">
        <v>108</v>
      </c>
      <c r="C17" s="53" t="s">
        <v>109</v>
      </c>
      <c r="D17" s="54" t="s">
        <v>110</v>
      </c>
      <c r="E17" s="55"/>
      <c r="F17" s="55"/>
    </row>
    <row r="18" spans="1:6" x14ac:dyDescent="0.2">
      <c r="A18" s="24" t="s">
        <v>111</v>
      </c>
      <c r="B18" s="52" t="s">
        <v>112</v>
      </c>
      <c r="C18" s="53" t="s">
        <v>113</v>
      </c>
      <c r="D18" s="54" t="s">
        <v>114</v>
      </c>
      <c r="E18" s="55"/>
      <c r="F18" s="55"/>
    </row>
    <row r="19" spans="1:6" x14ac:dyDescent="0.2">
      <c r="A19" s="24" t="s">
        <v>115</v>
      </c>
      <c r="B19" s="52" t="s">
        <v>116</v>
      </c>
      <c r="C19" s="53" t="s">
        <v>117</v>
      </c>
      <c r="D19" s="54" t="s">
        <v>118</v>
      </c>
      <c r="E19" s="55"/>
      <c r="F19" s="55"/>
    </row>
    <row r="20" spans="1:6" x14ac:dyDescent="0.2">
      <c r="A20" s="24" t="s">
        <v>61</v>
      </c>
      <c r="B20" s="52" t="s">
        <v>119</v>
      </c>
      <c r="C20" s="53" t="s">
        <v>120</v>
      </c>
      <c r="D20" s="54" t="s">
        <v>121</v>
      </c>
      <c r="E20" s="55"/>
      <c r="F20" s="55"/>
    </row>
    <row r="23" spans="1:6" x14ac:dyDescent="0.2">
      <c r="A23" s="1" t="s">
        <v>122</v>
      </c>
      <c r="B23" s="1"/>
      <c r="C23" s="1"/>
      <c r="D23" s="1"/>
      <c r="E23" s="1"/>
      <c r="F23" s="1"/>
    </row>
  </sheetData>
  <mergeCells count="3">
    <mergeCell ref="A1:J1"/>
    <mergeCell ref="A2:J2"/>
    <mergeCell ref="A23:F2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7AE60"/>
  </sheetPr>
  <dimension ref="A1:F20"/>
  <sheetViews>
    <sheetView showGridLines="0" zoomScaleNormal="100" workbookViewId="0"/>
  </sheetViews>
  <sheetFormatPr baseColWidth="10" defaultColWidth="8.6640625" defaultRowHeight="15" x14ac:dyDescent="0.2"/>
  <cols>
    <col min="1" max="1" width="38" customWidth="1"/>
    <col min="2" max="2" width="20" customWidth="1"/>
    <col min="3" max="3" width="40" customWidth="1"/>
  </cols>
  <sheetData>
    <row r="1" spans="1:6" ht="17" x14ac:dyDescent="0.2">
      <c r="A1" s="4" t="s">
        <v>123</v>
      </c>
      <c r="B1" s="4"/>
      <c r="C1" s="4"/>
      <c r="D1" s="4"/>
      <c r="E1" s="4"/>
      <c r="F1" s="4"/>
    </row>
    <row r="3" spans="1:6" x14ac:dyDescent="0.2">
      <c r="A3" s="5" t="s">
        <v>124</v>
      </c>
      <c r="B3" s="5"/>
      <c r="C3" s="5"/>
      <c r="D3" s="5"/>
    </row>
    <row r="4" spans="1:6" x14ac:dyDescent="0.2">
      <c r="A4" s="18" t="s">
        <v>125</v>
      </c>
      <c r="B4" s="21">
        <f>Hypothèses!B37</f>
        <v>250</v>
      </c>
      <c r="C4" s="23"/>
    </row>
    <row r="5" spans="1:6" x14ac:dyDescent="0.2">
      <c r="A5" s="18" t="s">
        <v>126</v>
      </c>
      <c r="B5" s="21">
        <f>Hypothèses!B37*12</f>
        <v>3000</v>
      </c>
      <c r="C5" s="23"/>
    </row>
    <row r="7" spans="1:6" x14ac:dyDescent="0.2">
      <c r="A7" s="5" t="s">
        <v>127</v>
      </c>
      <c r="B7" s="5"/>
      <c r="C7" s="5"/>
      <c r="D7" s="5"/>
    </row>
    <row r="8" spans="1:6" x14ac:dyDescent="0.2">
      <c r="A8" s="18" t="s">
        <v>102</v>
      </c>
      <c r="B8" s="21">
        <f>Hypothèses!C22</f>
        <v>0</v>
      </c>
      <c r="C8" s="23"/>
    </row>
    <row r="9" spans="1:6" x14ac:dyDescent="0.2">
      <c r="A9" s="18" t="s">
        <v>128</v>
      </c>
      <c r="B9" s="56">
        <f>IF(Hypothèses!B37&gt;0,Hypothèses!C22/Hypothèses!B37,"")</f>
        <v>0</v>
      </c>
      <c r="C9" s="23"/>
    </row>
    <row r="11" spans="1:6" x14ac:dyDescent="0.2">
      <c r="A11" s="5" t="s">
        <v>129</v>
      </c>
      <c r="B11" s="5"/>
      <c r="C11" s="5"/>
      <c r="D11" s="5"/>
    </row>
    <row r="12" spans="1:6" x14ac:dyDescent="0.2">
      <c r="A12" s="18" t="s">
        <v>130</v>
      </c>
      <c r="B12" s="57">
        <f>Hypothèses!B17</f>
        <v>0.05</v>
      </c>
      <c r="C12" s="23"/>
    </row>
    <row r="13" spans="1:6" x14ac:dyDescent="0.2">
      <c r="A13" s="18" t="s">
        <v>131</v>
      </c>
      <c r="B13" s="56">
        <f>IF(Hypothèses!B17&gt;0,1/Hypothèses!B17,"")</f>
        <v>20</v>
      </c>
      <c r="C13" s="23"/>
    </row>
    <row r="14" spans="1:6" x14ac:dyDescent="0.2">
      <c r="A14" s="18" t="s">
        <v>132</v>
      </c>
      <c r="B14" s="58">
        <f>IF(Hypothèses!B17&gt;0,1/Hypothèses!B17/12,"")</f>
        <v>1.6666666666666667</v>
      </c>
      <c r="C14" s="23"/>
    </row>
    <row r="16" spans="1:6" x14ac:dyDescent="0.2">
      <c r="A16" s="5" t="s">
        <v>133</v>
      </c>
      <c r="B16" s="5"/>
      <c r="C16" s="5"/>
      <c r="D16" s="5"/>
    </row>
    <row r="17" spans="1:3" x14ac:dyDescent="0.2">
      <c r="A17" s="18" t="s">
        <v>134</v>
      </c>
      <c r="B17" s="21">
        <f>IF(Hypothèses!B17&gt;0,Hypothèses!B37/Hypothèses!B17,"")</f>
        <v>5000</v>
      </c>
      <c r="C17" s="23"/>
    </row>
    <row r="18" spans="1:3" x14ac:dyDescent="0.2">
      <c r="A18" s="18" t="s">
        <v>135</v>
      </c>
      <c r="B18" s="21">
        <f>IF(Hypothèses!B17&gt;0,(Hypothèses!B37-Hypothèses!B37*0.05)/Hypothèses!B17,"")</f>
        <v>4750</v>
      </c>
      <c r="C18" s="23"/>
    </row>
    <row r="19" spans="1:3" x14ac:dyDescent="0.2">
      <c r="A19" s="18" t="s">
        <v>61</v>
      </c>
      <c r="B19" s="59" t="str">
        <f>IF(Hypothèses!C22&gt;0,IF(Hypothèses!B17&gt;0,Hypothèses!B37/Hypothèses!B17/Hypothèses!C22,""),"")</f>
        <v/>
      </c>
      <c r="C19" s="23"/>
    </row>
    <row r="20" spans="1:3" x14ac:dyDescent="0.2">
      <c r="A20" s="18" t="s">
        <v>136</v>
      </c>
      <c r="B20" s="21">
        <f>Hypothèses!B37*(1-0.05)-Hypothèses!C23*SUMPRODUCT(Hypothèses!B7:B9,Hypothèses!F7:F9)</f>
        <v>237.5</v>
      </c>
      <c r="C20" s="23"/>
    </row>
  </sheetData>
  <mergeCells count="5">
    <mergeCell ref="A1:F1"/>
    <mergeCell ref="A3:D3"/>
    <mergeCell ref="A7:D7"/>
    <mergeCell ref="A11:D11"/>
    <mergeCell ref="A16:D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Hypothèses</vt:lpstr>
      <vt:lpstr>Projections Mensuelles</vt:lpstr>
      <vt:lpstr>Synthèse Annuelle</vt:lpstr>
      <vt:lpstr>Scénarios</vt:lpstr>
      <vt:lpstr>Unit Economics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Frédéric DETEZ</cp:lastModifiedBy>
  <cp:revision>1</cp:revision>
  <dcterms:created xsi:type="dcterms:W3CDTF">2026-03-10T10:40:32Z</dcterms:created>
  <dcterms:modified xsi:type="dcterms:W3CDTF">2026-04-09T14:19:11Z</dcterms:modified>
  <dc:language>en-US</dc:language>
</cp:coreProperties>
</file>