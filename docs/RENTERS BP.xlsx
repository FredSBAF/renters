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èses" sheetId="1" state="visible" r:id="rId3"/>
    <sheet name="Projections Mensuelles" sheetId="2" state="visible" r:id="rId4"/>
    <sheet name="Synthèse Annuelle" sheetId="3" state="visible" r:id="rId5"/>
    <sheet name="Scénarios" sheetId="4" state="visible" r:id="rId6"/>
    <sheet name="Unit Econom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<sst xmlns="http://schemas.openxmlformats.org/spreadsheetml/2006/main" count="147" uniqueCount="137">
  <si>
    <t xml:space="preserve">POURACCORD — MODÈLE FINANCIER  ·  Hypothèses &amp; Paramètres</t>
  </si>
  <si>
    <t xml:space="preserve">Code couleur :   Bleu = saisie manuelle   |   Fond jaune = hypothèse clé   |   Noir = formule calculée</t>
  </si>
  <si>
    <t xml:space="preserve">  A — GRILLE DE PRIX (modifiable librement)</t>
  </si>
  <si>
    <t xml:space="preserve">Plan</t>
  </si>
  <si>
    <t xml:space="preserve">Dossiers inclus/mois</t>
  </si>
  <si>
    <t xml:space="preserve">Prix HT/mois (€)</t>
  </si>
  <si>
    <t xml:space="preserve">Prix/dossier inclus (€)</t>
  </si>
  <si>
    <t xml:space="preserve">Dossier supplémentaire (€)</t>
  </si>
  <si>
    <t xml:space="preserve">Mix % agences</t>
  </si>
  <si>
    <t xml:space="preserve">Starter</t>
  </si>
  <si>
    <t xml:space="preserve">Pro</t>
  </si>
  <si>
    <t xml:space="preserve">Expert</t>
  </si>
  <si>
    <t xml:space="preserve">Somme mix →</t>
  </si>
  <si>
    <t xml:space="preserve">  B — CROISSANCE AGENCES</t>
  </si>
  <si>
    <t xml:space="preserve">Agences ajoutées / mois (M1–M6)</t>
  </si>
  <si>
    <t xml:space="preserve">Agences ajoutées / mois (M7–M12)</t>
  </si>
  <si>
    <t xml:space="preserve">Agences ajoutées / mois (M13–M24)</t>
  </si>
  <si>
    <t xml:space="preserve">Agences ajoutées / mois (M25–M36)</t>
  </si>
  <si>
    <t xml:space="preserve">Taux de churn mensuel (%)</t>
  </si>
  <si>
    <t xml:space="preserve">Taux conversion essai → payant (%)</t>
  </si>
  <si>
    <t xml:space="preserve">Durée essai gratuit (mois)</t>
  </si>
  <si>
    <t xml:space="preserve">  C — COÛTS &amp; UNIT ECONOMICS</t>
  </si>
  <si>
    <t xml:space="preserve">CAC — Coût acquisition agence (€)</t>
  </si>
  <si>
    <t xml:space="preserve">Coût variable / dossier analysé (€)</t>
  </si>
  <si>
    <t xml:space="preserve">Charges fixes mensuelles (€)</t>
  </si>
  <si>
    <t xml:space="preserve">% Charges fixes croissance/an</t>
  </si>
  <si>
    <t xml:space="preserve">ETP recrutés à M6</t>
  </si>
  <si>
    <t xml:space="preserve">Coût moyen ETP/mois (€)</t>
  </si>
  <si>
    <t xml:space="preserve">  D — LOCATAIRES (effet réseau)</t>
  </si>
  <si>
    <t xml:space="preserve">Locataires inscrits M0 (base)</t>
  </si>
  <si>
    <t xml:space="preserve">Nouveaux locataires / mois (M1–M6)</t>
  </si>
  <si>
    <t xml:space="preserve">Nouveaux locataires / mois (M7–M12)</t>
  </si>
  <si>
    <t xml:space="preserve">Nouveaux locataires / mois (M13–M36)</t>
  </si>
  <si>
    <t xml:space="preserve">Nb de dossiers créés / locataire/mois</t>
  </si>
  <si>
    <t xml:space="preserve">  E — ARPU PONDÉRÉ CALCULÉ (résultat)</t>
  </si>
  <si>
    <t xml:space="preserve">ARPU mensuel moyen pondéré (€)</t>
  </si>
  <si>
    <t xml:space="preserve">Prix moyen par dossier (€)</t>
  </si>
  <si>
    <t xml:space="preserve">PROJECTIONS MENSUELLES — 36 MOIS</t>
  </si>
  <si>
    <t xml:space="preserve">Toutes les formules sont liées à l'onglet Hypothèses. Modifie les hypothèses pour voir l'impact ici.</t>
  </si>
  <si>
    <t xml:space="preserve">  ACTIVITÉ AGENCES</t>
  </si>
  <si>
    <t xml:space="preserve">Nouvelles agences (brutes)</t>
  </si>
  <si>
    <t xml:space="preserve">Agences perdues (churn)</t>
  </si>
  <si>
    <t xml:space="preserve">Agences payantes (cumulé)</t>
  </si>
  <si>
    <t xml:space="preserve">  REVENUS</t>
  </si>
  <si>
    <t xml:space="preserve">MRR (€)</t>
  </si>
  <si>
    <t xml:space="preserve">ARR run-rate (€)</t>
  </si>
  <si>
    <t xml:space="preserve">Revenus dossiers supp. (€)</t>
  </si>
  <si>
    <t xml:space="preserve">Revenus TOTAUX (€)</t>
  </si>
  <si>
    <t xml:space="preserve">  COÛTS</t>
  </si>
  <si>
    <t xml:space="preserve">Coût variable dossiers (€)</t>
  </si>
  <si>
    <t xml:space="preserve">Charges fixes (€)</t>
  </si>
  <si>
    <t xml:space="preserve">CAC (acquisition) (€)</t>
  </si>
  <si>
    <t xml:space="preserve">Masse salariale (€)</t>
  </si>
  <si>
    <t xml:space="preserve">TOTAL COÛTS (€)</t>
  </si>
  <si>
    <t xml:space="preserve">  RENTABILITÉ</t>
  </si>
  <si>
    <t xml:space="preserve">EBITDA (€)</t>
  </si>
  <si>
    <t xml:space="preserve">Marge EBITDA (%)</t>
  </si>
  <si>
    <t xml:space="preserve">  MÉTRIQUES</t>
  </si>
  <si>
    <t xml:space="preserve">Locataires inscrits (cumulé)</t>
  </si>
  <si>
    <t xml:space="preserve">Dossiers créés / mois</t>
  </si>
  <si>
    <t xml:space="preserve">LTV estimée / agence (€)</t>
  </si>
  <si>
    <t xml:space="preserve">LTV / CAC</t>
  </si>
  <si>
    <t xml:space="preserve">SYNTHÈSE ANNUELLE — AN 1 / AN 2 / AN 3</t>
  </si>
  <si>
    <t xml:space="preserve">Indicateur</t>
  </si>
  <si>
    <t xml:space="preserve">AN 1 (M1–M12)</t>
  </si>
  <si>
    <t xml:space="preserve">AN 2 (M13–M24)</t>
  </si>
  <si>
    <t xml:space="preserve">AN 3 (M25–M36)</t>
  </si>
  <si>
    <t xml:space="preserve">Agences payantes fin de période</t>
  </si>
  <si>
    <t xml:space="preserve">MRR fin de période (€)</t>
  </si>
  <si>
    <t xml:space="preserve">ARR run-rate fin de période (€)</t>
  </si>
  <si>
    <t xml:space="preserve">Revenus totaux (€)</t>
  </si>
  <si>
    <t xml:space="preserve">Total coûts (€)</t>
  </si>
  <si>
    <t xml:space="preserve">Locataires (fin de période)</t>
  </si>
  <si>
    <t xml:space="preserve">LTV estimée (€)</t>
  </si>
  <si>
    <t xml:space="preserve">Période</t>
  </si>
  <si>
    <t xml:space="preserve">Agences payantes</t>
  </si>
  <si>
    <t xml:space="preserve">M6</t>
  </si>
  <si>
    <t xml:space="preserve">M12</t>
  </si>
  <si>
    <t xml:space="preserve">M18</t>
  </si>
  <si>
    <t xml:space="preserve">M24</t>
  </si>
  <si>
    <t xml:space="preserve">M30</t>
  </si>
  <si>
    <t xml:space="preserve">M36</t>
  </si>
  <si>
    <t xml:space="preserve">COMPARAISON DE SCÉNARIOS — Modifier manuellement pour tester différentes hypothèses</t>
  </si>
  <si>
    <t xml:space="preserve">⚠️  Ce tableau est une copie statique. Pour chaque scénario, modifie les Hypothèses, note les résultats ici, puis compare.</t>
  </si>
  <si>
    <t xml:space="preserve">Scénario BASE
(deck actuel)</t>
  </si>
  <si>
    <t xml:space="preserve">Scénario PESSIMISTE
(churn 8%, prix -20%)</t>
  </si>
  <si>
    <t xml:space="preserve">Scénario OPTIMISTE
(churn 3%, prix +10%)</t>
  </si>
  <si>
    <t xml:space="preserve">Mon scénario A</t>
  </si>
  <si>
    <t xml:space="preserve">Mon scénario B</t>
  </si>
  <si>
    <t xml:space="preserve">── HYPOTHÈSES ──</t>
  </si>
  <si>
    <t xml:space="preserve">Prix Starter (€/mois)</t>
  </si>
  <si>
    <t xml:space="preserve">Prix Pro (€/mois)</t>
  </si>
  <si>
    <t xml:space="preserve">Prix Expert (€/mois)</t>
  </si>
  <si>
    <t xml:space="preserve">Mix Starter / Pro / Expert</t>
  </si>
  <si>
    <t xml:space="preserve">50/35/15</t>
  </si>
  <si>
    <t xml:space="preserve">55/35/10</t>
  </si>
  <si>
    <t xml:space="preserve">45/35/20</t>
  </si>
  <si>
    <t xml:space="preserve">ARPU pondéré (€)</t>
  </si>
  <si>
    <t xml:space="preserve">Churn mensuel (%)</t>
  </si>
  <si>
    <t xml:space="preserve">5,0%</t>
  </si>
  <si>
    <t xml:space="preserve">8,0%</t>
  </si>
  <si>
    <t xml:space="preserve">3,0%</t>
  </si>
  <si>
    <t xml:space="preserve">CAC (€)</t>
  </si>
  <si>
    <t xml:space="preserve">Croissance M1-M6 (ag/mois)</t>
  </si>
  <si>
    <t xml:space="preserve">── RÉSULTATS M36 ──</t>
  </si>
  <si>
    <t xml:space="preserve">Agences payantes M36</t>
  </si>
  <si>
    <t xml:space="preserve">MRR M36 (€)</t>
  </si>
  <si>
    <t xml:space="preserve">ARR M36 (€)</t>
  </si>
  <si>
    <t xml:space="preserve">1,49M€</t>
  </si>
  <si>
    <t xml:space="preserve">0,67M€</t>
  </si>
  <si>
    <t xml:space="preserve">2,47M€</t>
  </si>
  <si>
    <t xml:space="preserve">EBITDA M36 (€)</t>
  </si>
  <si>
    <t xml:space="preserve">~45K€</t>
  </si>
  <si>
    <t xml:space="preserve">~(20K€)</t>
  </si>
  <si>
    <t xml:space="preserve">~120K€</t>
  </si>
  <si>
    <t xml:space="preserve">Seuil de rentabilité</t>
  </si>
  <si>
    <t xml:space="preserve">M14</t>
  </si>
  <si>
    <t xml:space="preserve">M20+</t>
  </si>
  <si>
    <t xml:space="preserve">M11</t>
  </si>
  <si>
    <t xml:space="preserve">2,5x</t>
  </si>
  <si>
    <t xml:space="preserve">1,5x</t>
  </si>
  <si>
    <t xml:space="preserve">4,2x</t>
  </si>
  <si>
    <t xml:space="preserve">Comment utiliser ce tableau :  1) Va dans Hypothèses et change les valeurs (texte bleu)  →  2) Copie les résultats de Synthèse Annuelle  →  3) Colle ici dans 'Mon scénario A' ou 'B'</t>
  </si>
  <si>
    <t xml:space="preserve">UNIT ECONOMICS — PAR AGENCE CLIENTE</t>
  </si>
  <si>
    <t xml:space="preserve">  REVENUS PAR AGENCE</t>
  </si>
  <si>
    <t xml:space="preserve">ARPU mensuel pondéré (€)</t>
  </si>
  <si>
    <t xml:space="preserve">ARPU annuel (€)</t>
  </si>
  <si>
    <t xml:space="preserve">  COÛT D'ACQUISITION</t>
  </si>
  <si>
    <t xml:space="preserve">Payback period (mois)</t>
  </si>
  <si>
    <t xml:space="preserve">  DURÉE DE VIE</t>
  </si>
  <si>
    <t xml:space="preserve">Churn mensuel</t>
  </si>
  <si>
    <t xml:space="preserve">Durée de vie moyenne (mois)</t>
  </si>
  <si>
    <t xml:space="preserve">Durée de vie moyenne (ans)</t>
  </si>
  <si>
    <t xml:space="preserve">  LTV &amp; RENTABILITÉ</t>
  </si>
  <si>
    <t xml:space="preserve">LTV brute (€)</t>
  </si>
  <si>
    <t xml:space="preserve">LTV nette (aprés coût var.)</t>
  </si>
  <si>
    <t xml:space="preserve">Marge brute / agence / mois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</si>
</sst>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&quot; €&quot;;\(#,##0&quot; €)&quot;;\-"/>
    <numFmt numFmtId="167" formatCode="#,##0.00&quot; €&quot;;\(#,##0.00&quot; €)&quot;;\-"/>
    <numFmt numFmtId="168" formatCode="0.0%;\(0.0%\);\-"/>
    <numFmt numFmtId="169" formatCode="0.0\x"/>
    <numFmt numFmtId="170" formatCode="0.0&quot; mois&quot;"/>
    <numFmt numFmtId="171" formatCode="0.00&quot; ans&quot;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897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FFFFFF"/>
      <name val="Arial"/>
      <family val="0"/>
      <charset val="1"/>
    </font>
    <font>
      <sz val="10"/>
      <color rgb="FF00897B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27AE60"/>
      <name val="Arial"/>
      <family val="0"/>
      <charset val="1"/>
    </font>
    <font>
      <sz val="10"/>
      <color rgb="FF0000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D1B2A"/>
        <bgColor rgb="FF1A3050"/>
      </patternFill>
    </fill>
    <fill>
      <patternFill patternType="solid">
        <fgColor rgb="FF00897B"/>
        <bgColor rgb="FF008080"/>
      </patternFill>
    </fill>
    <fill>
      <patternFill patternType="solid">
        <fgColor rgb="FF4DB6AC"/>
        <bgColor rgb="FF27AE60"/>
      </patternFill>
    </fill>
    <fill>
      <patternFill patternType="solid">
        <fgColor rgb="FFF5F7F8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FEBEE"/>
      </patternFill>
    </fill>
    <fill>
      <patternFill patternType="solid">
        <fgColor rgb="FFB2DFDB"/>
        <bgColor rgb="FFC8E6C9"/>
      </patternFill>
    </fill>
    <fill>
      <patternFill patternType="solid">
        <fgColor rgb="FFFFFFFF"/>
        <bgColor rgb="FFF5F7F8"/>
      </patternFill>
    </fill>
    <fill>
      <patternFill patternType="solid">
        <fgColor rgb="FF1A3050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4DB6AC"/>
      </patternFill>
    </fill>
    <fill>
      <patternFill patternType="solid">
        <fgColor rgb="FFF59E0B"/>
        <bgColor rgb="FFFFCC00"/>
      </patternFill>
    </fill>
    <fill>
      <patternFill patternType="solid">
        <fgColor rgb="FF8E44AD"/>
        <bgColor rgb="FF993366"/>
      </patternFill>
    </fill>
    <fill>
      <patternFill patternType="solid">
        <fgColor rgb="FFE2E8F0"/>
        <bgColor rgb="FFE0F2F1"/>
      </patternFill>
    </fill>
    <fill>
      <patternFill patternType="solid">
        <fgColor rgb="FFE0F2F1"/>
        <bgColor rgb="FFE8F5E9"/>
      </patternFill>
    </fill>
    <fill>
      <patternFill patternType="solid">
        <fgColor rgb="FFFFEBEE"/>
        <bgColor rgb="FFF5F7F8"/>
      </patternFill>
    </fill>
    <fill>
      <patternFill patternType="solid">
        <fgColor rgb="FFE8F5E9"/>
        <bgColor rgb="FFE0F2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8E6C9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CCCCCC"/>
      <rgbColor rgb="FF878787"/>
      <rgbColor rgb="FF9999FF"/>
      <rgbColor rgb="FF8E44AD"/>
      <rgbColor rgb="FFFEF3C7"/>
      <rgbColor rgb="FFE0F2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EBEE"/>
      <rgbColor rgb="FFB2DFDB"/>
      <rgbColor rgb="FFF5F7F8"/>
      <rgbColor rgb="FFE2E8F0"/>
      <rgbColor rgb="FFFFCDD2"/>
      <rgbColor rgb="FF3366FF"/>
      <rgbColor rgb="FF4DB6AC"/>
      <rgbColor rgb="FF99CC00"/>
      <rgbColor rgb="FFFFCC00"/>
      <rgbColor rgb="FFF59E0B"/>
      <rgbColor rgb="FFFF6600"/>
      <rgbColor rgb="FF666699"/>
      <rgbColor rgb="FF94A3B8"/>
      <rgbColor rgb="FF1A3050"/>
      <rgbColor rgb="FF27AE60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MRR Mensuel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'Synthèse Annuelle'!B16</c:f>
              <c:strCache>
                <c:ptCount val="1"/>
                <c:pt idx="0">
                  <c:v>MRR (€)</c:v>
                </c:pt>
              </c:strCache>
            </c:strRef>
          </c:tx>
          <c:spPr>
            <a:solidFill>
              <a:srgbClr val="00897b"/>
            </a:solidFill>
            <a:ln w="9360">
              <a:solidFill>
                <a:srgbClr val="00897b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Annuelle'!$A$17:$A$22</c:f>
              <c:strCache>
                <c:ptCount val="6"/>
                <c:pt idx="0">
                  <c:v>M6</c:v>
                </c:pt>
                <c:pt idx="1">
                  <c:v>M12</c:v>
                </c:pt>
                <c:pt idx="2">
                  <c:v>M18</c:v>
                </c:pt>
                <c:pt idx="3">
                  <c:v>M24</c:v>
                </c:pt>
                <c:pt idx="4">
                  <c:v>M30</c:v>
                </c:pt>
                <c:pt idx="5">
                  <c:v>M36</c:v>
                </c:pt>
              </c:strCache>
            </c:strRef>
          </c:cat>
          <c:val>
            <c:numRef>
              <c:f>'Synthèse Annuelle'!$B$17:$B$22</c:f>
              <c:numCache>
                <c:formatCode>#,##0" €";\(#,##0" €)";\-</c:formatCode>
                <c:ptCount val="6"/>
                <c:pt idx="0">
                  <c:v>12663</c:v>
                </c:pt>
                <c:pt idx="1">
                  <c:v>28341</c:v>
                </c:pt>
                <c:pt idx="2">
                  <c:v>49446</c:v>
                </c:pt>
                <c:pt idx="3">
                  <c:v>65124</c:v>
                </c:pt>
                <c:pt idx="4">
                  <c:v>83214</c:v>
                </c:pt>
                <c:pt idx="5">
                  <c:v>96178.5</c:v>
                </c:pt>
              </c:numCache>
            </c:numRef>
          </c:val>
        </c:ser>
        <c:gapWidth val="150"/>
        <c:overlap val="0"/>
        <c:axId val="73091216"/>
        <c:axId val="84135190"/>
      </c:barChart>
      <c:catAx>
        <c:axId val="7309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35190"/>
        <c:crosses val="autoZero"/>
        <c:auto val="1"/>
        <c:lblAlgn val="ctr"/>
        <c:lblOffset val="100"/>
        <c:noMultiLvlLbl val="0"/>
      </c:catAx>
      <c:valAx>
        <c:axId val="841351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912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EBITDA (€)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'Synthèse Annuelle'!D16</c:f>
              <c:strCache>
                <c:ptCount val="1"/>
                <c:pt idx="0">
                  <c:v>EBITDA (€)</c:v>
                </c:pt>
              </c:strCache>
            </c:strRef>
          </c:tx>
          <c:spPr>
            <a:solidFill>
              <a:srgbClr val="f59e0b"/>
            </a:solidFill>
            <a:ln w="24840">
              <a:solidFill>
                <a:srgbClr val="f59e0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Annuelle'!$A$17:$A$22</c:f>
              <c:strCache>
                <c:ptCount val="6"/>
                <c:pt idx="0">
                  <c:v>M6</c:v>
                </c:pt>
                <c:pt idx="1">
                  <c:v>M12</c:v>
                </c:pt>
                <c:pt idx="2">
                  <c:v>M18</c:v>
                </c:pt>
                <c:pt idx="3">
                  <c:v>M24</c:v>
                </c:pt>
                <c:pt idx="4">
                  <c:v>M30</c:v>
                </c:pt>
                <c:pt idx="5">
                  <c:v>M36</c:v>
                </c:pt>
              </c:strCache>
            </c:strRef>
          </c:cat>
          <c:val>
            <c:numRef>
              <c:f>'Synthèse Annuelle'!$D$17:$D$22</c:f>
              <c:numCache>
                <c:formatCode>#,##0" €";\(#,##0" €)";\-</c:formatCode>
                <c:ptCount val="6"/>
                <c:pt idx="0">
                  <c:v>13929.3</c:v>
                </c:pt>
                <c:pt idx="1">
                  <c:v>31175.1</c:v>
                </c:pt>
                <c:pt idx="2">
                  <c:v>54390.6</c:v>
                </c:pt>
                <c:pt idx="3">
                  <c:v>71636.4</c:v>
                </c:pt>
                <c:pt idx="4">
                  <c:v>91535.4</c:v>
                </c:pt>
                <c:pt idx="5">
                  <c:v>105796.35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398060"/>
        <c:axId val="98883464"/>
      </c:lineChart>
      <c:catAx>
        <c:axId val="22398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83464"/>
        <c:crosses val="autoZero"/>
        <c:auto val="1"/>
        <c:lblAlgn val="ctr"/>
        <c:lblOffset val="100"/>
        <c:noMultiLvlLbl val="0"/>
      </c:catAx>
      <c:valAx>
        <c:axId val="988834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€&quot;;\(#,##0&quot; €)&quot;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398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176040</xdr:rowOff>
    </xdr:from>
    <xdr:to>
      <xdr:col>13</xdr:col>
      <xdr:colOff>147600</xdr:colOff>
      <xdr:row>21</xdr:row>
      <xdr:rowOff>156240</xdr:rowOff>
    </xdr:to>
    <xdr:graphicFrame>
      <xdr:nvGraphicFramePr>
        <xdr:cNvPr id="0" name="Chart 1"/>
        <xdr:cNvGraphicFramePr/>
      </xdr:nvGraphicFramePr>
      <xdr:xfrm>
        <a:off x="8105760" y="571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21</xdr:row>
      <xdr:rowOff>176040</xdr:rowOff>
    </xdr:from>
    <xdr:to>
      <xdr:col>13</xdr:col>
      <xdr:colOff>147600</xdr:colOff>
      <xdr:row>40</xdr:row>
      <xdr:rowOff>156240</xdr:rowOff>
    </xdr:to>
    <xdr:graphicFrame>
      <xdr:nvGraphicFramePr>
        <xdr:cNvPr id="1" name="Chart 2"/>
        <xdr:cNvGraphicFramePr/>
      </xdr:nvGraphicFramePr>
      <xdr:xfrm>
        <a:off x="8105760" y="419112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897B"/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10" min="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customFormat="false" ht="27.75" hidden="false" customHeight="true" outlineLevel="0" collapsed="false">
      <c r="A6" s="4" t="s">
        <v>3</v>
      </c>
      <c r="B6" s="5" t="s">
        <v>4</v>
      </c>
      <c r="C6" s="4" t="s">
        <v>5</v>
      </c>
      <c r="D6" s="5" t="s">
        <v>6</v>
      </c>
      <c r="E6" s="4" t="s">
        <v>7</v>
      </c>
      <c r="F6" s="5" t="s">
        <v>8</v>
      </c>
    </row>
    <row r="7" customFormat="false" ht="15" hidden="false" customHeight="false" outlineLevel="0" collapsed="false">
      <c r="A7" s="6" t="s">
        <v>9</v>
      </c>
      <c r="B7" s="7" t="n">
        <v>15</v>
      </c>
      <c r="C7" s="8" t="n">
        <v>149</v>
      </c>
      <c r="D7" s="9" t="n">
        <f aca="false">C7/B7</f>
        <v>9.93333333333333</v>
      </c>
      <c r="E7" s="10" t="n">
        <v>8</v>
      </c>
      <c r="F7" s="11" t="n">
        <v>0.5</v>
      </c>
    </row>
    <row r="8" customFormat="false" ht="15" hidden="false" customHeight="false" outlineLevel="0" collapsed="false">
      <c r="A8" s="6" t="s">
        <v>10</v>
      </c>
      <c r="B8" s="7" t="n">
        <v>50</v>
      </c>
      <c r="C8" s="8" t="n">
        <v>349</v>
      </c>
      <c r="D8" s="9" t="n">
        <f aca="false">C8/B8</f>
        <v>6.98</v>
      </c>
      <c r="E8" s="10" t="n">
        <v>6</v>
      </c>
      <c r="F8" s="11" t="n">
        <v>0.35</v>
      </c>
    </row>
    <row r="9" customFormat="false" ht="15" hidden="false" customHeight="false" outlineLevel="0" collapsed="false">
      <c r="A9" s="6" t="s">
        <v>11</v>
      </c>
      <c r="B9" s="7" t="n">
        <v>120</v>
      </c>
      <c r="C9" s="8" t="n">
        <v>699</v>
      </c>
      <c r="D9" s="9" t="n">
        <f aca="false">C9/B9</f>
        <v>5.825</v>
      </c>
      <c r="E9" s="10" t="n">
        <v>4</v>
      </c>
      <c r="F9" s="11" t="n">
        <v>0.15</v>
      </c>
    </row>
    <row r="10" customFormat="false" ht="15" hidden="false" customHeight="false" outlineLevel="0" collapsed="false">
      <c r="E10" s="12" t="s">
        <v>12</v>
      </c>
      <c r="F10" s="13" t="n">
        <f aca="false">SUM(F7:F9)</f>
        <v>1</v>
      </c>
    </row>
    <row r="12" customFormat="false" ht="15" hidden="false" customHeight="false" outlineLevel="0" collapsed="false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A13" s="14" t="s">
        <v>14</v>
      </c>
      <c r="B13" s="7" t="n">
        <v>8</v>
      </c>
    </row>
    <row r="14" customFormat="false" ht="15" hidden="false" customHeight="false" outlineLevel="0" collapsed="false">
      <c r="A14" s="14" t="s">
        <v>15</v>
      </c>
      <c r="B14" s="7" t="n">
        <v>12</v>
      </c>
    </row>
    <row r="15" customFormat="false" ht="15" hidden="false" customHeight="false" outlineLevel="0" collapsed="false">
      <c r="A15" s="14" t="s">
        <v>16</v>
      </c>
      <c r="B15" s="7" t="n">
        <v>18</v>
      </c>
    </row>
    <row r="16" customFormat="false" ht="15" hidden="false" customHeight="false" outlineLevel="0" collapsed="false">
      <c r="A16" s="14" t="s">
        <v>17</v>
      </c>
      <c r="B16" s="7" t="n">
        <v>22</v>
      </c>
    </row>
    <row r="17" customFormat="false" ht="15" hidden="false" customHeight="false" outlineLevel="0" collapsed="false">
      <c r="A17" s="14" t="s">
        <v>18</v>
      </c>
      <c r="B17" s="11" t="n">
        <v>0.05</v>
      </c>
    </row>
    <row r="18" customFormat="false" ht="15" hidden="false" customHeight="false" outlineLevel="0" collapsed="false">
      <c r="A18" s="14" t="s">
        <v>19</v>
      </c>
      <c r="B18" s="11" t="n">
        <v>0.1</v>
      </c>
    </row>
    <row r="19" customFormat="false" ht="15" hidden="false" customHeight="false" outlineLevel="0" collapsed="false">
      <c r="A19" s="14" t="s">
        <v>20</v>
      </c>
      <c r="B19" s="7" t="n">
        <v>1</v>
      </c>
    </row>
    <row r="21" customFormat="false" ht="15" hidden="false" customHeight="false" outlineLevel="0" collapsed="false">
      <c r="A21" s="3" t="s">
        <v>21</v>
      </c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5" hidden="false" customHeight="false" outlineLevel="0" collapsed="false">
      <c r="A22" s="14" t="s">
        <v>22</v>
      </c>
      <c r="B22" s="10" t="n">
        <v>1500</v>
      </c>
    </row>
    <row r="23" customFormat="false" ht="15" hidden="false" customHeight="false" outlineLevel="0" collapsed="false">
      <c r="A23" s="14" t="s">
        <v>23</v>
      </c>
      <c r="B23" s="10" t="n">
        <v>0.15</v>
      </c>
    </row>
    <row r="24" customFormat="false" ht="15" hidden="false" customHeight="false" outlineLevel="0" collapsed="false">
      <c r="A24" s="14" t="s">
        <v>24</v>
      </c>
      <c r="B24" s="10" t="n">
        <v>8000</v>
      </c>
    </row>
    <row r="25" customFormat="false" ht="15" hidden="false" customHeight="false" outlineLevel="0" collapsed="false">
      <c r="A25" s="14" t="s">
        <v>25</v>
      </c>
      <c r="B25" s="15" t="n">
        <v>0.1</v>
      </c>
    </row>
    <row r="26" customFormat="false" ht="15" hidden="false" customHeight="false" outlineLevel="0" collapsed="false">
      <c r="A26" s="14" t="s">
        <v>26</v>
      </c>
      <c r="B26" s="7" t="n">
        <v>2</v>
      </c>
    </row>
    <row r="27" customFormat="false" ht="15" hidden="false" customHeight="false" outlineLevel="0" collapsed="false">
      <c r="A27" s="14" t="s">
        <v>27</v>
      </c>
      <c r="B27" s="10" t="n">
        <v>4500</v>
      </c>
    </row>
    <row r="29" customFormat="false" ht="15" hidden="false" customHeight="false" outlineLevel="0" collapsed="false">
      <c r="A29" s="3" t="s">
        <v>28</v>
      </c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5" hidden="false" customHeight="false" outlineLevel="0" collapsed="false">
      <c r="A30" s="14" t="s">
        <v>29</v>
      </c>
      <c r="B30" s="7" t="n">
        <v>0</v>
      </c>
    </row>
    <row r="31" customFormat="false" ht="15" hidden="false" customHeight="false" outlineLevel="0" collapsed="false">
      <c r="A31" s="14" t="s">
        <v>30</v>
      </c>
      <c r="B31" s="7" t="n">
        <v>600</v>
      </c>
    </row>
    <row r="32" customFormat="false" ht="15" hidden="false" customHeight="false" outlineLevel="0" collapsed="false">
      <c r="A32" s="14" t="s">
        <v>31</v>
      </c>
      <c r="B32" s="7" t="n">
        <v>1500</v>
      </c>
    </row>
    <row r="33" customFormat="false" ht="15" hidden="false" customHeight="false" outlineLevel="0" collapsed="false">
      <c r="A33" s="14" t="s">
        <v>32</v>
      </c>
      <c r="B33" s="7" t="n">
        <v>4000</v>
      </c>
    </row>
    <row r="34" customFormat="false" ht="15" hidden="false" customHeight="false" outlineLevel="0" collapsed="false">
      <c r="A34" s="14" t="s">
        <v>33</v>
      </c>
      <c r="B34" s="7" t="n">
        <v>1.2</v>
      </c>
    </row>
    <row r="36" customFormat="false" ht="15" hidden="false" customHeight="false" outlineLevel="0" collapsed="false">
      <c r="A36" s="3" t="s">
        <v>34</v>
      </c>
      <c r="B36" s="3"/>
      <c r="C36" s="3"/>
      <c r="D36" s="3"/>
      <c r="E36" s="3"/>
      <c r="F36" s="3"/>
      <c r="G36" s="3"/>
      <c r="H36" s="3"/>
      <c r="I36" s="3"/>
      <c r="J36" s="3"/>
    </row>
    <row r="37" customFormat="false" ht="15" hidden="false" customHeight="false" outlineLevel="0" collapsed="false">
      <c r="A37" s="16" t="s">
        <v>35</v>
      </c>
      <c r="B37" s="17" t="n">
        <f aca="false">SUMPRODUCT(C7:C9,F7:F9)</f>
        <v>301.5</v>
      </c>
    </row>
    <row r="38" customFormat="false" ht="15" hidden="false" customHeight="false" outlineLevel="0" collapsed="false">
      <c r="A38" s="18" t="s">
        <v>36</v>
      </c>
      <c r="B38" s="9" t="n">
        <f aca="false">SUMPRODUCT(D7:D9,F7:F9)</f>
        <v>8.28341666666667</v>
      </c>
    </row>
  </sheetData>
  <mergeCells count="7">
    <mergeCell ref="A1:J1"/>
    <mergeCell ref="A3:J3"/>
    <mergeCell ref="A5:J5"/>
    <mergeCell ref="A12:J12"/>
    <mergeCell ref="A21:J21"/>
    <mergeCell ref="A29:J29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3050"/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7" min="2" style="0" width="11"/>
  </cols>
  <sheetData>
    <row r="1" customFormat="false" ht="16.15" hidden="false" customHeight="false" outlineLevel="0" collapsed="false">
      <c r="A1" s="19" t="s">
        <v>37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</row>
    <row r="2" customFormat="false" ht="15" hidden="false" customHeight="false" outlineLevel="0" collapsed="false">
      <c r="A2" s="20" t="s">
        <v>38</v>
      </c>
    </row>
    <row r="3" customFormat="false" ht="15" hidden="false" customHeight="false" outlineLevel="0" collapsed="false">
      <c r="A3" s="21" t="s">
        <v>39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</row>
    <row r="4" customFormat="false" ht="15" hidden="false" customHeight="false" outlineLevel="0" collapsed="false">
      <c r="A4" s="22" t="s">
        <v>40</v>
      </c>
      <c r="B4" s="23" t="n">
        <f aca="false">Hypothèses!B13</f>
        <v>8</v>
      </c>
      <c r="C4" s="23" t="n">
        <f aca="false">Hypothèses!B13</f>
        <v>8</v>
      </c>
      <c r="D4" s="23" t="n">
        <f aca="false">Hypothèses!B13</f>
        <v>8</v>
      </c>
      <c r="E4" s="23" t="n">
        <f aca="false">Hypothèses!B13</f>
        <v>8</v>
      </c>
      <c r="F4" s="23" t="n">
        <f aca="false">Hypothèses!B13</f>
        <v>8</v>
      </c>
      <c r="G4" s="23" t="n">
        <f aca="false">Hypothèses!B13</f>
        <v>8</v>
      </c>
      <c r="H4" s="23" t="n">
        <f aca="false">Hypothèses!B14</f>
        <v>12</v>
      </c>
      <c r="I4" s="23" t="n">
        <f aca="false">Hypothèses!B14</f>
        <v>12</v>
      </c>
      <c r="J4" s="23" t="n">
        <f aca="false">Hypothèses!B14</f>
        <v>12</v>
      </c>
      <c r="K4" s="23" t="n">
        <f aca="false">Hypothèses!B14</f>
        <v>12</v>
      </c>
      <c r="L4" s="23" t="n">
        <f aca="false">Hypothèses!B14</f>
        <v>12</v>
      </c>
      <c r="M4" s="23" t="n">
        <f aca="false">Hypothèses!B14</f>
        <v>12</v>
      </c>
      <c r="N4" s="23" t="n">
        <f aca="false">Hypothèses!B15</f>
        <v>18</v>
      </c>
      <c r="O4" s="23" t="n">
        <f aca="false">Hypothèses!B15</f>
        <v>18</v>
      </c>
      <c r="P4" s="23" t="n">
        <f aca="false">Hypothèses!B15</f>
        <v>18</v>
      </c>
      <c r="Q4" s="23" t="n">
        <f aca="false">Hypothèses!B15</f>
        <v>18</v>
      </c>
      <c r="R4" s="23" t="n">
        <f aca="false">Hypothèses!B15</f>
        <v>18</v>
      </c>
      <c r="S4" s="23" t="n">
        <f aca="false">Hypothèses!B15</f>
        <v>18</v>
      </c>
      <c r="T4" s="23" t="n">
        <f aca="false">Hypothèses!B15</f>
        <v>18</v>
      </c>
      <c r="U4" s="23" t="n">
        <f aca="false">Hypothèses!B15</f>
        <v>18</v>
      </c>
      <c r="V4" s="23" t="n">
        <f aca="false">Hypothèses!B15</f>
        <v>18</v>
      </c>
      <c r="W4" s="23" t="n">
        <f aca="false">Hypothèses!B15</f>
        <v>18</v>
      </c>
      <c r="X4" s="23" t="n">
        <f aca="false">Hypothèses!B15</f>
        <v>18</v>
      </c>
      <c r="Y4" s="23" t="n">
        <f aca="false">Hypothèses!B15</f>
        <v>18</v>
      </c>
      <c r="Z4" s="23" t="n">
        <f aca="false">Hypothèses!B16</f>
        <v>22</v>
      </c>
      <c r="AA4" s="23" t="n">
        <f aca="false">Hypothèses!B16</f>
        <v>22</v>
      </c>
      <c r="AB4" s="23" t="n">
        <f aca="false">Hypothèses!B16</f>
        <v>22</v>
      </c>
      <c r="AC4" s="23" t="n">
        <f aca="false">Hypothèses!B16</f>
        <v>22</v>
      </c>
      <c r="AD4" s="23" t="n">
        <f aca="false">Hypothèses!B16</f>
        <v>22</v>
      </c>
      <c r="AE4" s="23" t="n">
        <f aca="false">Hypothèses!B16</f>
        <v>22</v>
      </c>
      <c r="AF4" s="23" t="n">
        <f aca="false">Hypothèses!B16</f>
        <v>22</v>
      </c>
      <c r="AG4" s="23" t="n">
        <f aca="false">Hypothèses!B16</f>
        <v>22</v>
      </c>
      <c r="AH4" s="23" t="n">
        <f aca="false">Hypothèses!B16</f>
        <v>22</v>
      </c>
      <c r="AI4" s="23" t="n">
        <f aca="false">Hypothèses!B16</f>
        <v>22</v>
      </c>
      <c r="AJ4" s="23" t="n">
        <f aca="false">Hypothèses!B16</f>
        <v>22</v>
      </c>
      <c r="AK4" s="23" t="n">
        <f aca="false">Hypothèses!B16</f>
        <v>22</v>
      </c>
    </row>
    <row r="5" customFormat="false" ht="15" hidden="false" customHeight="false" outlineLevel="0" collapsed="false">
      <c r="A5" s="22" t="s">
        <v>41</v>
      </c>
      <c r="B5" s="23" t="n">
        <f aca="false">0</f>
        <v>0</v>
      </c>
      <c r="C5" s="23" t="n">
        <f aca="false">ROUND(B6*Hypothèses!B17,0)</f>
        <v>0</v>
      </c>
      <c r="D5" s="23" t="n">
        <f aca="false">ROUND(C6*Hypothèses!B17,0)</f>
        <v>1</v>
      </c>
      <c r="E5" s="23" t="n">
        <f aca="false">ROUND(D6*Hypothèses!B17,0)</f>
        <v>1</v>
      </c>
      <c r="F5" s="23" t="n">
        <f aca="false">ROUND(E6*Hypothèses!B17,0)</f>
        <v>2</v>
      </c>
      <c r="G5" s="23" t="n">
        <f aca="false">ROUND(F6*Hypothèses!B17,0)</f>
        <v>2</v>
      </c>
      <c r="H5" s="23" t="n">
        <f aca="false">ROUND(G6*Hypothèses!B17,0)</f>
        <v>2</v>
      </c>
      <c r="I5" s="23" t="n">
        <f aca="false">ROUND(H6*Hypothèses!B17,0)</f>
        <v>3</v>
      </c>
      <c r="J5" s="23" t="n">
        <f aca="false">ROUND(I6*Hypothèses!B17,0)</f>
        <v>3</v>
      </c>
      <c r="K5" s="23" t="n">
        <f aca="false">ROUND(J6*Hypothèses!B17,0)</f>
        <v>4</v>
      </c>
      <c r="L5" s="23" t="n">
        <f aca="false">ROUND(K6*Hypothèses!B17,0)</f>
        <v>4</v>
      </c>
      <c r="M5" s="23" t="n">
        <f aca="false">ROUND(L6*Hypothèses!B17,0)</f>
        <v>4</v>
      </c>
      <c r="N5" s="23" t="n">
        <f aca="false">ROUND(M6*Hypothèses!B17,0)</f>
        <v>5</v>
      </c>
      <c r="O5" s="23" t="n">
        <f aca="false">ROUND(N6*Hypothèses!B17,0)</f>
        <v>5</v>
      </c>
      <c r="P5" s="23" t="n">
        <f aca="false">ROUND(O6*Hypothèses!B17,0)</f>
        <v>6</v>
      </c>
      <c r="Q5" s="23" t="n">
        <f aca="false">ROUND(P6*Hypothèses!B17,0)</f>
        <v>7</v>
      </c>
      <c r="R5" s="23" t="n">
        <f aca="false">ROUND(Q6*Hypothèses!B17,0)</f>
        <v>7</v>
      </c>
      <c r="S5" s="23" t="n">
        <f aca="false">ROUND(R6*Hypothèses!B17,0)</f>
        <v>8</v>
      </c>
      <c r="T5" s="23" t="n">
        <f aca="false">ROUND(S6*Hypothèses!B17,0)</f>
        <v>8</v>
      </c>
      <c r="U5" s="23" t="n">
        <f aca="false">ROUND(T6*Hypothèses!B17,0)</f>
        <v>9</v>
      </c>
      <c r="V5" s="23" t="n">
        <f aca="false">ROUND(U6*Hypothèses!B17,0)</f>
        <v>9</v>
      </c>
      <c r="W5" s="23" t="n">
        <f aca="false">ROUND(V6*Hypothèses!B17,0)</f>
        <v>10</v>
      </c>
      <c r="X5" s="23" t="n">
        <f aca="false">ROUND(W6*Hypothèses!B17,0)</f>
        <v>10</v>
      </c>
      <c r="Y5" s="23" t="n">
        <f aca="false">ROUND(X6*Hypothèses!B17,0)</f>
        <v>10</v>
      </c>
      <c r="Z5" s="23" t="n">
        <f aca="false">ROUND(Y6*Hypothèses!B17,0)</f>
        <v>11</v>
      </c>
      <c r="AA5" s="23" t="n">
        <f aca="false">ROUND(Z6*Hypothèses!B17,0)</f>
        <v>11</v>
      </c>
      <c r="AB5" s="23" t="n">
        <f aca="false">ROUND(AA6*Hypothèses!B17,0)</f>
        <v>12</v>
      </c>
      <c r="AC5" s="23" t="n">
        <f aca="false">ROUND(AB6*Hypothèses!B17,0)</f>
        <v>12</v>
      </c>
      <c r="AD5" s="23" t="n">
        <f aca="false">ROUND(AC6*Hypothèses!B17,0)</f>
        <v>13</v>
      </c>
      <c r="AE5" s="23" t="n">
        <f aca="false">ROUND(AD6*Hypothèses!B17,0)</f>
        <v>13</v>
      </c>
      <c r="AF5" s="23" t="n">
        <f aca="false">ROUND(AE6*Hypothèses!B17,0)</f>
        <v>14</v>
      </c>
      <c r="AG5" s="23" t="n">
        <f aca="false">ROUND(AF6*Hypothèses!B17,0)</f>
        <v>14</v>
      </c>
      <c r="AH5" s="23" t="n">
        <f aca="false">ROUND(AG6*Hypothèses!B17,0)</f>
        <v>15</v>
      </c>
      <c r="AI5" s="23" t="n">
        <f aca="false">ROUND(AH6*Hypothèses!B17,0)</f>
        <v>15</v>
      </c>
      <c r="AJ5" s="23" t="n">
        <f aca="false">ROUND(AI6*Hypothèses!B17,0)</f>
        <v>15</v>
      </c>
      <c r="AK5" s="23" t="n">
        <f aca="false">ROUND(AJ6*Hypothèses!B17,0)</f>
        <v>16</v>
      </c>
    </row>
    <row r="6" customFormat="false" ht="15" hidden="false" customHeight="false" outlineLevel="0" collapsed="false">
      <c r="A6" s="24" t="s">
        <v>42</v>
      </c>
      <c r="B6" s="23" t="n">
        <f aca="false">B4-B5</f>
        <v>8</v>
      </c>
      <c r="C6" s="23" t="n">
        <f aca="false">MAX(0,B6+C4-C5)</f>
        <v>16</v>
      </c>
      <c r="D6" s="23" t="n">
        <f aca="false">MAX(0,C6+D4-D5)</f>
        <v>23</v>
      </c>
      <c r="E6" s="23" t="n">
        <f aca="false">MAX(0,D6+E4-E5)</f>
        <v>30</v>
      </c>
      <c r="F6" s="23" t="n">
        <f aca="false">MAX(0,E6+F4-F5)</f>
        <v>36</v>
      </c>
      <c r="G6" s="23" t="n">
        <f aca="false">MAX(0,F6+G4-G5)</f>
        <v>42</v>
      </c>
      <c r="H6" s="23" t="n">
        <f aca="false">MAX(0,G6+H4-H5)</f>
        <v>52</v>
      </c>
      <c r="I6" s="23" t="n">
        <f aca="false">MAX(0,H6+I4-I5)</f>
        <v>61</v>
      </c>
      <c r="J6" s="23" t="n">
        <f aca="false">MAX(0,I6+J4-J5)</f>
        <v>70</v>
      </c>
      <c r="K6" s="23" t="n">
        <f aca="false">MAX(0,J6+K4-K5)</f>
        <v>78</v>
      </c>
      <c r="L6" s="23" t="n">
        <f aca="false">MAX(0,K6+L4-L5)</f>
        <v>86</v>
      </c>
      <c r="M6" s="23" t="n">
        <f aca="false">MAX(0,L6+M4-M5)</f>
        <v>94</v>
      </c>
      <c r="N6" s="23" t="n">
        <f aca="false">MAX(0,M6+N4-N5)</f>
        <v>107</v>
      </c>
      <c r="O6" s="23" t="n">
        <f aca="false">MAX(0,N6+O4-O5)</f>
        <v>120</v>
      </c>
      <c r="P6" s="23" t="n">
        <f aca="false">MAX(0,O6+P4-P5)</f>
        <v>132</v>
      </c>
      <c r="Q6" s="23" t="n">
        <f aca="false">MAX(0,P6+Q4-Q5)</f>
        <v>143</v>
      </c>
      <c r="R6" s="23" t="n">
        <f aca="false">MAX(0,Q6+R4-R5)</f>
        <v>154</v>
      </c>
      <c r="S6" s="23" t="n">
        <f aca="false">MAX(0,R6+S4-S5)</f>
        <v>164</v>
      </c>
      <c r="T6" s="23" t="n">
        <f aca="false">MAX(0,S6+T4-T5)</f>
        <v>174</v>
      </c>
      <c r="U6" s="23" t="n">
        <f aca="false">MAX(0,T6+U4-U5)</f>
        <v>183</v>
      </c>
      <c r="V6" s="23" t="n">
        <f aca="false">MAX(0,U6+V4-V5)</f>
        <v>192</v>
      </c>
      <c r="W6" s="23" t="n">
        <f aca="false">MAX(0,V6+W4-W5)</f>
        <v>200</v>
      </c>
      <c r="X6" s="23" t="n">
        <f aca="false">MAX(0,W6+X4-X5)</f>
        <v>208</v>
      </c>
      <c r="Y6" s="23" t="n">
        <f aca="false">MAX(0,X6+Y4-Y5)</f>
        <v>216</v>
      </c>
      <c r="Z6" s="23" t="n">
        <f aca="false">MAX(0,Y6+Z4-Z5)</f>
        <v>227</v>
      </c>
      <c r="AA6" s="23" t="n">
        <f aca="false">MAX(0,Z6+AA4-AA5)</f>
        <v>238</v>
      </c>
      <c r="AB6" s="23" t="n">
        <f aca="false">MAX(0,AA6+AB4-AB5)</f>
        <v>248</v>
      </c>
      <c r="AC6" s="23" t="n">
        <f aca="false">MAX(0,AB6+AC4-AC5)</f>
        <v>258</v>
      </c>
      <c r="AD6" s="23" t="n">
        <f aca="false">MAX(0,AC6+AD4-AD5)</f>
        <v>267</v>
      </c>
      <c r="AE6" s="23" t="n">
        <f aca="false">MAX(0,AD6+AE4-AE5)</f>
        <v>276</v>
      </c>
      <c r="AF6" s="23" t="n">
        <f aca="false">MAX(0,AE6+AF4-AF5)</f>
        <v>284</v>
      </c>
      <c r="AG6" s="23" t="n">
        <f aca="false">MAX(0,AF6+AG4-AG5)</f>
        <v>292</v>
      </c>
      <c r="AH6" s="23" t="n">
        <f aca="false">MAX(0,AG6+AH4-AH5)</f>
        <v>299</v>
      </c>
      <c r="AI6" s="23" t="n">
        <f aca="false">MAX(0,AH6+AI4-AI5)</f>
        <v>306</v>
      </c>
      <c r="AJ6" s="23" t="n">
        <f aca="false">MAX(0,AI6+AJ4-AJ5)</f>
        <v>313</v>
      </c>
      <c r="AK6" s="23" t="n">
        <f aca="false">MAX(0,AJ6+AK4-AK5)</f>
        <v>319</v>
      </c>
    </row>
    <row r="7" customFormat="false" ht="15" hidden="false" customHeight="false" outlineLevel="0" collapsed="false">
      <c r="A7" s="3" t="s">
        <v>43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customFormat="false" ht="15" hidden="false" customHeight="false" outlineLevel="0" collapsed="false">
      <c r="A8" s="24" t="s">
        <v>44</v>
      </c>
      <c r="B8" s="25" t="n">
        <f aca="false">B6*Hypothèses!B37</f>
        <v>2412</v>
      </c>
      <c r="C8" s="25" t="n">
        <f aca="false">C6*Hypothèses!B37</f>
        <v>4824</v>
      </c>
      <c r="D8" s="25" t="n">
        <f aca="false">D6*Hypothèses!B37</f>
        <v>6934.5</v>
      </c>
      <c r="E8" s="25" t="n">
        <f aca="false">E6*Hypothèses!B37</f>
        <v>9045</v>
      </c>
      <c r="F8" s="25" t="n">
        <f aca="false">F6*Hypothèses!B37</f>
        <v>10854</v>
      </c>
      <c r="G8" s="25" t="n">
        <f aca="false">G6*Hypothèses!B37</f>
        <v>12663</v>
      </c>
      <c r="H8" s="25" t="n">
        <f aca="false">H6*Hypothèses!B37</f>
        <v>15678</v>
      </c>
      <c r="I8" s="25" t="n">
        <f aca="false">I6*Hypothèses!B37</f>
        <v>18391.5</v>
      </c>
      <c r="J8" s="25" t="n">
        <f aca="false">J6*Hypothèses!B37</f>
        <v>21105</v>
      </c>
      <c r="K8" s="25" t="n">
        <f aca="false">K6*Hypothèses!B37</f>
        <v>23517</v>
      </c>
      <c r="L8" s="25" t="n">
        <f aca="false">L6*Hypothèses!B37</f>
        <v>25929</v>
      </c>
      <c r="M8" s="25" t="n">
        <f aca="false">M6*Hypothèses!B37</f>
        <v>28341</v>
      </c>
      <c r="N8" s="25" t="n">
        <f aca="false">N6*Hypothèses!B37</f>
        <v>32260.5</v>
      </c>
      <c r="O8" s="25" t="n">
        <f aca="false">O6*Hypothèses!B37</f>
        <v>36180</v>
      </c>
      <c r="P8" s="25" t="n">
        <f aca="false">P6*Hypothèses!B37</f>
        <v>39798</v>
      </c>
      <c r="Q8" s="25" t="n">
        <f aca="false">Q6*Hypothèses!B37</f>
        <v>43114.5</v>
      </c>
      <c r="R8" s="25" t="n">
        <f aca="false">R6*Hypothèses!B37</f>
        <v>46431</v>
      </c>
      <c r="S8" s="25" t="n">
        <f aca="false">S6*Hypothèses!B37</f>
        <v>49446</v>
      </c>
      <c r="T8" s="25" t="n">
        <f aca="false">T6*Hypothèses!B37</f>
        <v>52461</v>
      </c>
      <c r="U8" s="25" t="n">
        <f aca="false">U6*Hypothèses!B37</f>
        <v>55174.5</v>
      </c>
      <c r="V8" s="25" t="n">
        <f aca="false">V6*Hypothèses!B37</f>
        <v>57888</v>
      </c>
      <c r="W8" s="25" t="n">
        <f aca="false">W6*Hypothèses!B37</f>
        <v>60300</v>
      </c>
      <c r="X8" s="25" t="n">
        <f aca="false">X6*Hypothèses!B37</f>
        <v>62712</v>
      </c>
      <c r="Y8" s="25" t="n">
        <f aca="false">Y6*Hypothèses!B37</f>
        <v>65124</v>
      </c>
      <c r="Z8" s="25" t="n">
        <f aca="false">Z6*Hypothèses!B37</f>
        <v>68440.5</v>
      </c>
      <c r="AA8" s="25" t="n">
        <f aca="false">AA6*Hypothèses!B37</f>
        <v>71757</v>
      </c>
      <c r="AB8" s="25" t="n">
        <f aca="false">AB6*Hypothèses!B37</f>
        <v>74772</v>
      </c>
      <c r="AC8" s="25" t="n">
        <f aca="false">AC6*Hypothèses!B37</f>
        <v>77787</v>
      </c>
      <c r="AD8" s="25" t="n">
        <f aca="false">AD6*Hypothèses!B37</f>
        <v>80500.5</v>
      </c>
      <c r="AE8" s="25" t="n">
        <f aca="false">AE6*Hypothèses!B37</f>
        <v>83214</v>
      </c>
      <c r="AF8" s="25" t="n">
        <f aca="false">AF6*Hypothèses!B37</f>
        <v>85626</v>
      </c>
      <c r="AG8" s="25" t="n">
        <f aca="false">AG6*Hypothèses!B37</f>
        <v>88038</v>
      </c>
      <c r="AH8" s="25" t="n">
        <f aca="false">AH6*Hypothèses!B37</f>
        <v>90148.5</v>
      </c>
      <c r="AI8" s="25" t="n">
        <f aca="false">AI6*Hypothèses!B37</f>
        <v>92259</v>
      </c>
      <c r="AJ8" s="25" t="n">
        <f aca="false">AJ6*Hypothèses!B37</f>
        <v>94369.5</v>
      </c>
      <c r="AK8" s="25" t="n">
        <f aca="false">AK6*Hypothèses!B37</f>
        <v>96178.5</v>
      </c>
    </row>
    <row r="9" customFormat="false" ht="15" hidden="false" customHeight="false" outlineLevel="0" collapsed="false">
      <c r="A9" s="22" t="s">
        <v>45</v>
      </c>
      <c r="B9" s="25" t="n">
        <f aca="false">B8*12</f>
        <v>28944</v>
      </c>
      <c r="C9" s="25" t="n">
        <f aca="false">C8*12</f>
        <v>57888</v>
      </c>
      <c r="D9" s="25" t="n">
        <f aca="false">D8*12</f>
        <v>83214</v>
      </c>
      <c r="E9" s="25" t="n">
        <f aca="false">E8*12</f>
        <v>108540</v>
      </c>
      <c r="F9" s="25" t="n">
        <f aca="false">F8*12</f>
        <v>130248</v>
      </c>
      <c r="G9" s="25" t="n">
        <f aca="false">G8*12</f>
        <v>151956</v>
      </c>
      <c r="H9" s="25" t="n">
        <f aca="false">H8*12</f>
        <v>188136</v>
      </c>
      <c r="I9" s="25" t="n">
        <f aca="false">I8*12</f>
        <v>220698</v>
      </c>
      <c r="J9" s="25" t="n">
        <f aca="false">J8*12</f>
        <v>253260</v>
      </c>
      <c r="K9" s="25" t="n">
        <f aca="false">K8*12</f>
        <v>282204</v>
      </c>
      <c r="L9" s="25" t="n">
        <f aca="false">L8*12</f>
        <v>311148</v>
      </c>
      <c r="M9" s="25" t="n">
        <f aca="false">M8*12</f>
        <v>340092</v>
      </c>
      <c r="N9" s="25" t="n">
        <f aca="false">N8*12</f>
        <v>387126</v>
      </c>
      <c r="O9" s="25" t="n">
        <f aca="false">O8*12</f>
        <v>434160</v>
      </c>
      <c r="P9" s="25" t="n">
        <f aca="false">P8*12</f>
        <v>477576</v>
      </c>
      <c r="Q9" s="25" t="n">
        <f aca="false">Q8*12</f>
        <v>517374</v>
      </c>
      <c r="R9" s="25" t="n">
        <f aca="false">R8*12</f>
        <v>557172</v>
      </c>
      <c r="S9" s="25" t="n">
        <f aca="false">S8*12</f>
        <v>593352</v>
      </c>
      <c r="T9" s="25" t="n">
        <f aca="false">T8*12</f>
        <v>629532</v>
      </c>
      <c r="U9" s="25" t="n">
        <f aca="false">U8*12</f>
        <v>662094</v>
      </c>
      <c r="V9" s="25" t="n">
        <f aca="false">V8*12</f>
        <v>694656</v>
      </c>
      <c r="W9" s="25" t="n">
        <f aca="false">W8*12</f>
        <v>723600</v>
      </c>
      <c r="X9" s="25" t="n">
        <f aca="false">X8*12</f>
        <v>752544</v>
      </c>
      <c r="Y9" s="25" t="n">
        <f aca="false">Y8*12</f>
        <v>781488</v>
      </c>
      <c r="Z9" s="25" t="n">
        <f aca="false">Z8*12</f>
        <v>821286</v>
      </c>
      <c r="AA9" s="25" t="n">
        <f aca="false">AA8*12</f>
        <v>861084</v>
      </c>
      <c r="AB9" s="25" t="n">
        <f aca="false">AB8*12</f>
        <v>897264</v>
      </c>
      <c r="AC9" s="25" t="n">
        <f aca="false">AC8*12</f>
        <v>933444</v>
      </c>
      <c r="AD9" s="25" t="n">
        <f aca="false">AD8*12</f>
        <v>966006</v>
      </c>
      <c r="AE9" s="25" t="n">
        <f aca="false">AE8*12</f>
        <v>998568</v>
      </c>
      <c r="AF9" s="25" t="n">
        <f aca="false">AF8*12</f>
        <v>1027512</v>
      </c>
      <c r="AG9" s="25" t="n">
        <f aca="false">AG8*12</f>
        <v>1056456</v>
      </c>
      <c r="AH9" s="25" t="n">
        <f aca="false">AH8*12</f>
        <v>1081782</v>
      </c>
      <c r="AI9" s="25" t="n">
        <f aca="false">AI8*12</f>
        <v>1107108</v>
      </c>
      <c r="AJ9" s="25" t="n">
        <f aca="false">AJ8*12</f>
        <v>1132434</v>
      </c>
      <c r="AK9" s="25" t="n">
        <f aca="false">AK8*12</f>
        <v>1154142</v>
      </c>
    </row>
    <row r="11" customFormat="false" ht="15" hidden="false" customHeight="false" outlineLevel="0" collapsed="false">
      <c r="A11" s="22" t="s">
        <v>46</v>
      </c>
      <c r="B11" s="25" t="n">
        <f aca="false">B8*0.1</f>
        <v>241.2</v>
      </c>
      <c r="C11" s="25" t="n">
        <f aca="false">C8*0.1</f>
        <v>482.4</v>
      </c>
      <c r="D11" s="25" t="n">
        <f aca="false">D8*0.1</f>
        <v>693.45</v>
      </c>
      <c r="E11" s="25" t="n">
        <f aca="false">E8*0.1</f>
        <v>904.5</v>
      </c>
      <c r="F11" s="25" t="n">
        <f aca="false">F8*0.1</f>
        <v>1085.4</v>
      </c>
      <c r="G11" s="25" t="n">
        <f aca="false">G8*0.1</f>
        <v>1266.3</v>
      </c>
      <c r="H11" s="25" t="n">
        <f aca="false">H8*0.1</f>
        <v>1567.8</v>
      </c>
      <c r="I11" s="25" t="n">
        <f aca="false">I8*0.1</f>
        <v>1839.15</v>
      </c>
      <c r="J11" s="25" t="n">
        <f aca="false">J8*0.1</f>
        <v>2110.5</v>
      </c>
      <c r="K11" s="25" t="n">
        <f aca="false">K8*0.1</f>
        <v>2351.7</v>
      </c>
      <c r="L11" s="25" t="n">
        <f aca="false">L8*0.1</f>
        <v>2592.9</v>
      </c>
      <c r="M11" s="25" t="n">
        <f aca="false">M8*0.1</f>
        <v>2834.1</v>
      </c>
      <c r="N11" s="25" t="n">
        <f aca="false">N8*0.1</f>
        <v>3226.05</v>
      </c>
      <c r="O11" s="25" t="n">
        <f aca="false">O8*0.1</f>
        <v>3618</v>
      </c>
      <c r="P11" s="25" t="n">
        <f aca="false">P8*0.1</f>
        <v>3979.8</v>
      </c>
      <c r="Q11" s="25" t="n">
        <f aca="false">Q8*0.1</f>
        <v>4311.45</v>
      </c>
      <c r="R11" s="25" t="n">
        <f aca="false">R8*0.1</f>
        <v>4643.1</v>
      </c>
      <c r="S11" s="25" t="n">
        <f aca="false">S8*0.1</f>
        <v>4944.6</v>
      </c>
      <c r="T11" s="25" t="n">
        <f aca="false">T8*0.1</f>
        <v>5246.1</v>
      </c>
      <c r="U11" s="25" t="n">
        <f aca="false">U8*0.1</f>
        <v>5517.45</v>
      </c>
      <c r="V11" s="25" t="n">
        <f aca="false">V8*0.1</f>
        <v>5788.8</v>
      </c>
      <c r="W11" s="25" t="n">
        <f aca="false">W8*0.1</f>
        <v>6030</v>
      </c>
      <c r="X11" s="25" t="n">
        <f aca="false">X8*0.1</f>
        <v>6271.2</v>
      </c>
      <c r="Y11" s="25" t="n">
        <f aca="false">Y8*0.1</f>
        <v>6512.4</v>
      </c>
      <c r="Z11" s="25" t="n">
        <f aca="false">Z8*0.1</f>
        <v>6844.05</v>
      </c>
      <c r="AA11" s="25" t="n">
        <f aca="false">AA8*0.1</f>
        <v>7175.7</v>
      </c>
      <c r="AB11" s="25" t="n">
        <f aca="false">AB8*0.1</f>
        <v>7477.2</v>
      </c>
      <c r="AC11" s="25" t="n">
        <f aca="false">AC8*0.1</f>
        <v>7778.7</v>
      </c>
      <c r="AD11" s="25" t="n">
        <f aca="false">AD8*0.1</f>
        <v>8050.05</v>
      </c>
      <c r="AE11" s="25" t="n">
        <f aca="false">AE8*0.1</f>
        <v>8321.4</v>
      </c>
      <c r="AF11" s="25" t="n">
        <f aca="false">AF8*0.1</f>
        <v>8562.6</v>
      </c>
      <c r="AG11" s="25" t="n">
        <f aca="false">AG8*0.1</f>
        <v>8803.8</v>
      </c>
      <c r="AH11" s="25" t="n">
        <f aca="false">AH8*0.1</f>
        <v>9014.85</v>
      </c>
      <c r="AI11" s="25" t="n">
        <f aca="false">AI8*0.1</f>
        <v>9225.9</v>
      </c>
      <c r="AJ11" s="25" t="n">
        <f aca="false">AJ8*0.1</f>
        <v>9436.95</v>
      </c>
      <c r="AK11" s="25" t="n">
        <f aca="false">AK8*0.1</f>
        <v>9617.85</v>
      </c>
    </row>
    <row r="12" customFormat="false" ht="15" hidden="false" customHeight="false" outlineLevel="0" collapsed="false">
      <c r="A12" s="24" t="s">
        <v>47</v>
      </c>
      <c r="B12" s="26" t="n">
        <f aca="false">B8+B11</f>
        <v>2653.2</v>
      </c>
      <c r="C12" s="26" t="n">
        <f aca="false">C8+C11</f>
        <v>5306.4</v>
      </c>
      <c r="D12" s="26" t="n">
        <f aca="false">D8+D11</f>
        <v>7627.95</v>
      </c>
      <c r="E12" s="26" t="n">
        <f aca="false">E8+E11</f>
        <v>9949.5</v>
      </c>
      <c r="F12" s="26" t="n">
        <f aca="false">F8+F11</f>
        <v>11939.4</v>
      </c>
      <c r="G12" s="26" t="n">
        <f aca="false">G8+G11</f>
        <v>13929.3</v>
      </c>
      <c r="H12" s="26" t="n">
        <f aca="false">H8+H11</f>
        <v>17245.8</v>
      </c>
      <c r="I12" s="26" t="n">
        <f aca="false">I8+I11</f>
        <v>20230.65</v>
      </c>
      <c r="J12" s="26" t="n">
        <f aca="false">J8+J11</f>
        <v>23215.5</v>
      </c>
      <c r="K12" s="26" t="n">
        <f aca="false">K8+K11</f>
        <v>25868.7</v>
      </c>
      <c r="L12" s="26" t="n">
        <f aca="false">L8+L11</f>
        <v>28521.9</v>
      </c>
      <c r="M12" s="26" t="n">
        <f aca="false">M8+M11</f>
        <v>31175.1</v>
      </c>
      <c r="N12" s="26" t="n">
        <f aca="false">N8+N11</f>
        <v>35486.55</v>
      </c>
      <c r="O12" s="26" t="n">
        <f aca="false">O8+O11</f>
        <v>39798</v>
      </c>
      <c r="P12" s="26" t="n">
        <f aca="false">P8+P11</f>
        <v>43777.8</v>
      </c>
      <c r="Q12" s="26" t="n">
        <f aca="false">Q8+Q11</f>
        <v>47425.95</v>
      </c>
      <c r="R12" s="26" t="n">
        <f aca="false">R8+R11</f>
        <v>51074.1</v>
      </c>
      <c r="S12" s="26" t="n">
        <f aca="false">S8+S11</f>
        <v>54390.6</v>
      </c>
      <c r="T12" s="26" t="n">
        <f aca="false">T8+T11</f>
        <v>57707.1</v>
      </c>
      <c r="U12" s="26" t="n">
        <f aca="false">U8+U11</f>
        <v>60691.95</v>
      </c>
      <c r="V12" s="26" t="n">
        <f aca="false">V8+V11</f>
        <v>63676.8</v>
      </c>
      <c r="W12" s="26" t="n">
        <f aca="false">W8+W11</f>
        <v>66330</v>
      </c>
      <c r="X12" s="26" t="n">
        <f aca="false">X8+X11</f>
        <v>68983.2</v>
      </c>
      <c r="Y12" s="26" t="n">
        <f aca="false">Y8+Y11</f>
        <v>71636.4</v>
      </c>
      <c r="Z12" s="26" t="n">
        <f aca="false">Z8+Z11</f>
        <v>75284.55</v>
      </c>
      <c r="AA12" s="26" t="n">
        <f aca="false">AA8+AA11</f>
        <v>78932.7</v>
      </c>
      <c r="AB12" s="26" t="n">
        <f aca="false">AB8+AB11</f>
        <v>82249.2</v>
      </c>
      <c r="AC12" s="26" t="n">
        <f aca="false">AC8+AC11</f>
        <v>85565.7</v>
      </c>
      <c r="AD12" s="26" t="n">
        <f aca="false">AD8+AD11</f>
        <v>88550.55</v>
      </c>
      <c r="AE12" s="26" t="n">
        <f aca="false">AE8+AE11</f>
        <v>91535.4</v>
      </c>
      <c r="AF12" s="26" t="n">
        <f aca="false">AF8+AF11</f>
        <v>94188.6</v>
      </c>
      <c r="AG12" s="26" t="n">
        <f aca="false">AG8+AG11</f>
        <v>96841.8</v>
      </c>
      <c r="AH12" s="26" t="n">
        <f aca="false">AH8+AH11</f>
        <v>99163.35</v>
      </c>
      <c r="AI12" s="26" t="n">
        <f aca="false">AI8+AI11</f>
        <v>101484.9</v>
      </c>
      <c r="AJ12" s="26" t="n">
        <f aca="false">AJ8+AJ11</f>
        <v>103806.45</v>
      </c>
      <c r="AK12" s="26" t="n">
        <f aca="false">AK8+AK11</f>
        <v>105796.35</v>
      </c>
    </row>
    <row r="13" customFormat="false" ht="15" hidden="false" customHeight="false" outlineLevel="0" collapsed="false">
      <c r="A13" s="3" t="s">
        <v>48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customFormat="false" ht="15" hidden="false" customHeight="false" outlineLevel="0" collapsed="false">
      <c r="A14" s="22" t="s">
        <v>49</v>
      </c>
      <c r="B14" s="25" t="n">
        <f aca="false">B6*(SUMPRODUCT(Hypothèses!B7:B9,Hypothèses!F7:F9))*Hypothèses!C23</f>
        <v>0</v>
      </c>
      <c r="C14" s="25" t="n">
        <f aca="false">C6*(SUMPRODUCT(Hypothèses!B7:B9,Hypothèses!F7:F9))*Hypothèses!C23</f>
        <v>0</v>
      </c>
      <c r="D14" s="25" t="n">
        <f aca="false">D6*(SUMPRODUCT(Hypothèses!B7:B9,Hypothèses!F7:F9))*Hypothèses!C23</f>
        <v>0</v>
      </c>
      <c r="E14" s="25" t="n">
        <f aca="false">E6*(SUMPRODUCT(Hypothèses!B7:B9,Hypothèses!F7:F9))*Hypothèses!C23</f>
        <v>0</v>
      </c>
      <c r="F14" s="25" t="n">
        <f aca="false">F6*(SUMPRODUCT(Hypothèses!B7:B9,Hypothèses!F7:F9))*Hypothèses!C23</f>
        <v>0</v>
      </c>
      <c r="G14" s="25" t="n">
        <f aca="false">G6*(SUMPRODUCT(Hypothèses!B7:B9,Hypothèses!F7:F9))*Hypothèses!C23</f>
        <v>0</v>
      </c>
      <c r="H14" s="25" t="n">
        <f aca="false">H6*(SUMPRODUCT(Hypothèses!B7:B9,Hypothèses!F7:F9))*Hypothèses!C23</f>
        <v>0</v>
      </c>
      <c r="I14" s="25" t="n">
        <f aca="false">I6*(SUMPRODUCT(Hypothèses!B7:B9,Hypothèses!F7:F9))*Hypothèses!C23</f>
        <v>0</v>
      </c>
      <c r="J14" s="25" t="n">
        <f aca="false">J6*(SUMPRODUCT(Hypothèses!B7:B9,Hypothèses!F7:F9))*Hypothèses!C23</f>
        <v>0</v>
      </c>
      <c r="K14" s="25" t="n">
        <f aca="false">K6*(SUMPRODUCT(Hypothèses!B7:B9,Hypothèses!F7:F9))*Hypothèses!C23</f>
        <v>0</v>
      </c>
      <c r="L14" s="25" t="n">
        <f aca="false">L6*(SUMPRODUCT(Hypothèses!B7:B9,Hypothèses!F7:F9))*Hypothèses!C23</f>
        <v>0</v>
      </c>
      <c r="M14" s="25" t="n">
        <f aca="false">M6*(SUMPRODUCT(Hypothèses!B7:B9,Hypothèses!F7:F9))*Hypothèses!C23</f>
        <v>0</v>
      </c>
      <c r="N14" s="25" t="n">
        <f aca="false">N6*(SUMPRODUCT(Hypothèses!B7:B9,Hypothèses!F7:F9))*Hypothèses!C23</f>
        <v>0</v>
      </c>
      <c r="O14" s="25" t="n">
        <f aca="false">O6*(SUMPRODUCT(Hypothèses!B7:B9,Hypothèses!F7:F9))*Hypothèses!C23</f>
        <v>0</v>
      </c>
      <c r="P14" s="25" t="n">
        <f aca="false">P6*(SUMPRODUCT(Hypothèses!B7:B9,Hypothèses!F7:F9))*Hypothèses!C23</f>
        <v>0</v>
      </c>
      <c r="Q14" s="25" t="n">
        <f aca="false">Q6*(SUMPRODUCT(Hypothèses!B7:B9,Hypothèses!F7:F9))*Hypothèses!C23</f>
        <v>0</v>
      </c>
      <c r="R14" s="25" t="n">
        <f aca="false">R6*(SUMPRODUCT(Hypothèses!B7:B9,Hypothèses!F7:F9))*Hypothèses!C23</f>
        <v>0</v>
      </c>
      <c r="S14" s="25" t="n">
        <f aca="false">S6*(SUMPRODUCT(Hypothèses!B7:B9,Hypothèses!F7:F9))*Hypothèses!C23</f>
        <v>0</v>
      </c>
      <c r="T14" s="25" t="n">
        <f aca="false">T6*(SUMPRODUCT(Hypothèses!B7:B9,Hypothèses!F7:F9))*Hypothèses!C23</f>
        <v>0</v>
      </c>
      <c r="U14" s="25" t="n">
        <f aca="false">U6*(SUMPRODUCT(Hypothèses!B7:B9,Hypothèses!F7:F9))*Hypothèses!C23</f>
        <v>0</v>
      </c>
      <c r="V14" s="25" t="n">
        <f aca="false">V6*(SUMPRODUCT(Hypothèses!B7:B9,Hypothèses!F7:F9))*Hypothèses!C23</f>
        <v>0</v>
      </c>
      <c r="W14" s="25" t="n">
        <f aca="false">W6*(SUMPRODUCT(Hypothèses!B7:B9,Hypothèses!F7:F9))*Hypothèses!C23</f>
        <v>0</v>
      </c>
      <c r="X14" s="25" t="n">
        <f aca="false">X6*(SUMPRODUCT(Hypothèses!B7:B9,Hypothèses!F7:F9))*Hypothèses!C23</f>
        <v>0</v>
      </c>
      <c r="Y14" s="25" t="n">
        <f aca="false">Y6*(SUMPRODUCT(Hypothèses!B7:B9,Hypothèses!F7:F9))*Hypothèses!C23</f>
        <v>0</v>
      </c>
      <c r="Z14" s="25" t="n">
        <f aca="false">Z6*(SUMPRODUCT(Hypothèses!B7:B9,Hypothèses!F7:F9))*Hypothèses!C23</f>
        <v>0</v>
      </c>
      <c r="AA14" s="25" t="n">
        <f aca="false">AA6*(SUMPRODUCT(Hypothèses!B7:B9,Hypothèses!F7:F9))*Hypothèses!C23</f>
        <v>0</v>
      </c>
      <c r="AB14" s="25" t="n">
        <f aca="false">AB6*(SUMPRODUCT(Hypothèses!B7:B9,Hypothèses!F7:F9))*Hypothèses!C23</f>
        <v>0</v>
      </c>
      <c r="AC14" s="25" t="n">
        <f aca="false">AC6*(SUMPRODUCT(Hypothèses!B7:B9,Hypothèses!F7:F9))*Hypothèses!C23</f>
        <v>0</v>
      </c>
      <c r="AD14" s="25" t="n">
        <f aca="false">AD6*(SUMPRODUCT(Hypothèses!B7:B9,Hypothèses!F7:F9))*Hypothèses!C23</f>
        <v>0</v>
      </c>
      <c r="AE14" s="25" t="n">
        <f aca="false">AE6*(SUMPRODUCT(Hypothèses!B7:B9,Hypothèses!F7:F9))*Hypothèses!C23</f>
        <v>0</v>
      </c>
      <c r="AF14" s="25" t="n">
        <f aca="false">AF6*(SUMPRODUCT(Hypothèses!B7:B9,Hypothèses!F7:F9))*Hypothèses!C23</f>
        <v>0</v>
      </c>
      <c r="AG14" s="25" t="n">
        <f aca="false">AG6*(SUMPRODUCT(Hypothèses!B7:B9,Hypothèses!F7:F9))*Hypothèses!C23</f>
        <v>0</v>
      </c>
      <c r="AH14" s="25" t="n">
        <f aca="false">AH6*(SUMPRODUCT(Hypothèses!B7:B9,Hypothèses!F7:F9))*Hypothèses!C23</f>
        <v>0</v>
      </c>
      <c r="AI14" s="25" t="n">
        <f aca="false">AI6*(SUMPRODUCT(Hypothèses!B7:B9,Hypothèses!F7:F9))*Hypothèses!C23</f>
        <v>0</v>
      </c>
      <c r="AJ14" s="25" t="n">
        <f aca="false">AJ6*(SUMPRODUCT(Hypothèses!B7:B9,Hypothèses!F7:F9))*Hypothèses!C23</f>
        <v>0</v>
      </c>
      <c r="AK14" s="25" t="n">
        <f aca="false">AK6*(SUMPRODUCT(Hypothèses!B7:B9,Hypothèses!F7:F9))*Hypothèses!C23</f>
        <v>0</v>
      </c>
    </row>
    <row r="15" customFormat="false" ht="15" hidden="false" customHeight="false" outlineLevel="0" collapsed="false">
      <c r="A15" s="22" t="s">
        <v>50</v>
      </c>
      <c r="B15" s="25" t="n">
        <f aca="false">Hypothèses!C24*(1+Hypothèses!C25)^0</f>
        <v>0</v>
      </c>
      <c r="C15" s="25" t="n">
        <f aca="false">Hypothèses!C24*(1+Hypothèses!C25)^0</f>
        <v>0</v>
      </c>
      <c r="D15" s="25" t="n">
        <f aca="false">Hypothèses!C24*(1+Hypothèses!C25)^0</f>
        <v>0</v>
      </c>
      <c r="E15" s="25" t="n">
        <f aca="false">Hypothèses!C24*(1+Hypothèses!C25)^0</f>
        <v>0</v>
      </c>
      <c r="F15" s="25" t="n">
        <f aca="false">Hypothèses!C24*(1+Hypothèses!C25)^0</f>
        <v>0</v>
      </c>
      <c r="G15" s="25" t="n">
        <f aca="false">Hypothèses!C24*(1+Hypothèses!C25)^0</f>
        <v>0</v>
      </c>
      <c r="H15" s="25" t="n">
        <f aca="false">Hypothèses!C24*(1+Hypothèses!C25)^0</f>
        <v>0</v>
      </c>
      <c r="I15" s="25" t="n">
        <f aca="false">Hypothèses!C24*(1+Hypothèses!C25)^0</f>
        <v>0</v>
      </c>
      <c r="J15" s="25" t="n">
        <f aca="false">Hypothèses!C24*(1+Hypothèses!C25)^0</f>
        <v>0</v>
      </c>
      <c r="K15" s="25" t="n">
        <f aca="false">Hypothèses!C24*(1+Hypothèses!C25)^0</f>
        <v>0</v>
      </c>
      <c r="L15" s="25" t="n">
        <f aca="false">Hypothèses!C24*(1+Hypothèses!C25)^0</f>
        <v>0</v>
      </c>
      <c r="M15" s="25" t="n">
        <f aca="false">Hypothèses!C24*(1+Hypothèses!C25)^0</f>
        <v>0</v>
      </c>
      <c r="N15" s="25" t="n">
        <f aca="false">Hypothèses!C24*(1+Hypothèses!C25)^1</f>
        <v>0</v>
      </c>
      <c r="O15" s="25" t="n">
        <f aca="false">Hypothèses!C24*(1+Hypothèses!C25)^1</f>
        <v>0</v>
      </c>
      <c r="P15" s="25" t="n">
        <f aca="false">Hypothèses!C24*(1+Hypothèses!C25)^1</f>
        <v>0</v>
      </c>
      <c r="Q15" s="25" t="n">
        <f aca="false">Hypothèses!C24*(1+Hypothèses!C25)^1</f>
        <v>0</v>
      </c>
      <c r="R15" s="25" t="n">
        <f aca="false">Hypothèses!C24*(1+Hypothèses!C25)^1</f>
        <v>0</v>
      </c>
      <c r="S15" s="25" t="n">
        <f aca="false">Hypothèses!C24*(1+Hypothèses!C25)^1</f>
        <v>0</v>
      </c>
      <c r="T15" s="25" t="n">
        <f aca="false">Hypothèses!C24*(1+Hypothèses!C25)^1</f>
        <v>0</v>
      </c>
      <c r="U15" s="25" t="n">
        <f aca="false">Hypothèses!C24*(1+Hypothèses!C25)^1</f>
        <v>0</v>
      </c>
      <c r="V15" s="25" t="n">
        <f aca="false">Hypothèses!C24*(1+Hypothèses!C25)^1</f>
        <v>0</v>
      </c>
      <c r="W15" s="25" t="n">
        <f aca="false">Hypothèses!C24*(1+Hypothèses!C25)^1</f>
        <v>0</v>
      </c>
      <c r="X15" s="25" t="n">
        <f aca="false">Hypothèses!C24*(1+Hypothèses!C25)^1</f>
        <v>0</v>
      </c>
      <c r="Y15" s="25" t="n">
        <f aca="false">Hypothèses!C24*(1+Hypothèses!C25)^1</f>
        <v>0</v>
      </c>
      <c r="Z15" s="25" t="n">
        <f aca="false">Hypothèses!C24*(1+Hypothèses!C25)^2</f>
        <v>0</v>
      </c>
      <c r="AA15" s="25" t="n">
        <f aca="false">Hypothèses!C24*(1+Hypothèses!C25)^2</f>
        <v>0</v>
      </c>
      <c r="AB15" s="25" t="n">
        <f aca="false">Hypothèses!C24*(1+Hypothèses!C25)^2</f>
        <v>0</v>
      </c>
      <c r="AC15" s="25" t="n">
        <f aca="false">Hypothèses!C24*(1+Hypothèses!C25)^2</f>
        <v>0</v>
      </c>
      <c r="AD15" s="25" t="n">
        <f aca="false">Hypothèses!C24*(1+Hypothèses!C25)^2</f>
        <v>0</v>
      </c>
      <c r="AE15" s="25" t="n">
        <f aca="false">Hypothèses!C24*(1+Hypothèses!C25)^2</f>
        <v>0</v>
      </c>
      <c r="AF15" s="25" t="n">
        <f aca="false">Hypothèses!C24*(1+Hypothèses!C25)^2</f>
        <v>0</v>
      </c>
      <c r="AG15" s="25" t="n">
        <f aca="false">Hypothèses!C24*(1+Hypothèses!C25)^2</f>
        <v>0</v>
      </c>
      <c r="AH15" s="25" t="n">
        <f aca="false">Hypothèses!C24*(1+Hypothèses!C25)^2</f>
        <v>0</v>
      </c>
      <c r="AI15" s="25" t="n">
        <f aca="false">Hypothèses!C24*(1+Hypothèses!C25)^2</f>
        <v>0</v>
      </c>
      <c r="AJ15" s="25" t="n">
        <f aca="false">Hypothèses!C24*(1+Hypothèses!C25)^2</f>
        <v>0</v>
      </c>
      <c r="AK15" s="25" t="n">
        <f aca="false">Hypothèses!C24*(1+Hypothèses!C25)^2</f>
        <v>0</v>
      </c>
    </row>
    <row r="16" customFormat="false" ht="15" hidden="false" customHeight="false" outlineLevel="0" collapsed="false">
      <c r="A16" s="22" t="s">
        <v>51</v>
      </c>
      <c r="B16" s="25" t="n">
        <f aca="false">B4*Hypothèses!C22</f>
        <v>0</v>
      </c>
      <c r="C16" s="25" t="n">
        <f aca="false">C4*Hypothèses!C22</f>
        <v>0</v>
      </c>
      <c r="D16" s="25" t="n">
        <f aca="false">D4*Hypothèses!C22</f>
        <v>0</v>
      </c>
      <c r="E16" s="25" t="n">
        <f aca="false">E4*Hypothèses!C22</f>
        <v>0</v>
      </c>
      <c r="F16" s="25" t="n">
        <f aca="false">F4*Hypothèses!C22</f>
        <v>0</v>
      </c>
      <c r="G16" s="25" t="n">
        <f aca="false">G4*Hypothèses!C22</f>
        <v>0</v>
      </c>
      <c r="H16" s="25" t="n">
        <f aca="false">H4*Hypothèses!C22</f>
        <v>0</v>
      </c>
      <c r="I16" s="25" t="n">
        <f aca="false">I4*Hypothèses!C22</f>
        <v>0</v>
      </c>
      <c r="J16" s="25" t="n">
        <f aca="false">J4*Hypothèses!C22</f>
        <v>0</v>
      </c>
      <c r="K16" s="25" t="n">
        <f aca="false">K4*Hypothèses!C22</f>
        <v>0</v>
      </c>
      <c r="L16" s="25" t="n">
        <f aca="false">L4*Hypothèses!C22</f>
        <v>0</v>
      </c>
      <c r="M16" s="25" t="n">
        <f aca="false">M4*Hypothèses!C22</f>
        <v>0</v>
      </c>
      <c r="N16" s="25" t="n">
        <f aca="false">N4*Hypothèses!C22</f>
        <v>0</v>
      </c>
      <c r="O16" s="25" t="n">
        <f aca="false">O4*Hypothèses!C22</f>
        <v>0</v>
      </c>
      <c r="P16" s="25" t="n">
        <f aca="false">P4*Hypothèses!C22</f>
        <v>0</v>
      </c>
      <c r="Q16" s="25" t="n">
        <f aca="false">Q4*Hypothèses!C22</f>
        <v>0</v>
      </c>
      <c r="R16" s="25" t="n">
        <f aca="false">R4*Hypothèses!C22</f>
        <v>0</v>
      </c>
      <c r="S16" s="25" t="n">
        <f aca="false">S4*Hypothèses!C22</f>
        <v>0</v>
      </c>
      <c r="T16" s="25" t="n">
        <f aca="false">T4*Hypothèses!C22</f>
        <v>0</v>
      </c>
      <c r="U16" s="25" t="n">
        <f aca="false">U4*Hypothèses!C22</f>
        <v>0</v>
      </c>
      <c r="V16" s="25" t="n">
        <f aca="false">V4*Hypothèses!C22</f>
        <v>0</v>
      </c>
      <c r="W16" s="25" t="n">
        <f aca="false">W4*Hypothèses!C22</f>
        <v>0</v>
      </c>
      <c r="X16" s="25" t="n">
        <f aca="false">X4*Hypothèses!C22</f>
        <v>0</v>
      </c>
      <c r="Y16" s="25" t="n">
        <f aca="false">Y4*Hypothèses!C22</f>
        <v>0</v>
      </c>
      <c r="Z16" s="25" t="n">
        <f aca="false">Z4*Hypothèses!C22</f>
        <v>0</v>
      </c>
      <c r="AA16" s="25" t="n">
        <f aca="false">AA4*Hypothèses!C22</f>
        <v>0</v>
      </c>
      <c r="AB16" s="25" t="n">
        <f aca="false">AB4*Hypothèses!C22</f>
        <v>0</v>
      </c>
      <c r="AC16" s="25" t="n">
        <f aca="false">AC4*Hypothèses!C22</f>
        <v>0</v>
      </c>
      <c r="AD16" s="25" t="n">
        <f aca="false">AD4*Hypothèses!C22</f>
        <v>0</v>
      </c>
      <c r="AE16" s="25" t="n">
        <f aca="false">AE4*Hypothèses!C22</f>
        <v>0</v>
      </c>
      <c r="AF16" s="25" t="n">
        <f aca="false">AF4*Hypothèses!C22</f>
        <v>0</v>
      </c>
      <c r="AG16" s="25" t="n">
        <f aca="false">AG4*Hypothèses!C22</f>
        <v>0</v>
      </c>
      <c r="AH16" s="25" t="n">
        <f aca="false">AH4*Hypothèses!C22</f>
        <v>0</v>
      </c>
      <c r="AI16" s="25" t="n">
        <f aca="false">AI4*Hypothèses!C22</f>
        <v>0</v>
      </c>
      <c r="AJ16" s="25" t="n">
        <f aca="false">AJ4*Hypothèses!C22</f>
        <v>0</v>
      </c>
      <c r="AK16" s="25" t="n">
        <f aca="false">AK4*Hypothèses!C22</f>
        <v>0</v>
      </c>
    </row>
    <row r="17" customFormat="false" ht="15" hidden="false" customHeight="false" outlineLevel="0" collapsed="false">
      <c r="A17" s="22" t="s">
        <v>52</v>
      </c>
      <c r="B17" s="25" t="n">
        <f aca="false">0</f>
        <v>0</v>
      </c>
      <c r="C17" s="25" t="n">
        <f aca="false">0</f>
        <v>0</v>
      </c>
      <c r="D17" s="25" t="n">
        <f aca="false">0</f>
        <v>0</v>
      </c>
      <c r="E17" s="25" t="n">
        <f aca="false">0</f>
        <v>0</v>
      </c>
      <c r="F17" s="25" t="n">
        <f aca="false">0</f>
        <v>0</v>
      </c>
      <c r="G17" s="25" t="n">
        <f aca="false">Hypothèses!C26*Hypothèses!C27</f>
        <v>0</v>
      </c>
      <c r="H17" s="25" t="n">
        <f aca="false">Hypothèses!C26*Hypothèses!C27</f>
        <v>0</v>
      </c>
      <c r="I17" s="25" t="n">
        <f aca="false">Hypothèses!C26*Hypothèses!C27</f>
        <v>0</v>
      </c>
      <c r="J17" s="25" t="n">
        <f aca="false">Hypothèses!C26*Hypothèses!C27</f>
        <v>0</v>
      </c>
      <c r="K17" s="25" t="n">
        <f aca="false">Hypothèses!C26*Hypothèses!C27</f>
        <v>0</v>
      </c>
      <c r="L17" s="25" t="n">
        <f aca="false">Hypothèses!C26*Hypothèses!C27</f>
        <v>0</v>
      </c>
      <c r="M17" s="25" t="n">
        <f aca="false">Hypothèses!C26*Hypothèses!C27</f>
        <v>0</v>
      </c>
      <c r="N17" s="25" t="n">
        <f aca="false">Hypothèses!C26*Hypothèses!C27</f>
        <v>0</v>
      </c>
      <c r="O17" s="25" t="n">
        <f aca="false">Hypothèses!C26*Hypothèses!C27</f>
        <v>0</v>
      </c>
      <c r="P17" s="25" t="n">
        <f aca="false">Hypothèses!C26*Hypothèses!C27</f>
        <v>0</v>
      </c>
      <c r="Q17" s="25" t="n">
        <f aca="false">Hypothèses!C26*Hypothèses!C27</f>
        <v>0</v>
      </c>
      <c r="R17" s="25" t="n">
        <f aca="false">Hypothèses!C26*Hypothèses!C27</f>
        <v>0</v>
      </c>
      <c r="S17" s="25" t="n">
        <f aca="false">Hypothèses!C26*Hypothèses!C27</f>
        <v>0</v>
      </c>
      <c r="T17" s="25" t="n">
        <f aca="false">Hypothèses!C26*Hypothèses!C27</f>
        <v>0</v>
      </c>
      <c r="U17" s="25" t="n">
        <f aca="false">Hypothèses!C26*Hypothèses!C27</f>
        <v>0</v>
      </c>
      <c r="V17" s="25" t="n">
        <f aca="false">Hypothèses!C26*Hypothèses!C27</f>
        <v>0</v>
      </c>
      <c r="W17" s="25" t="n">
        <f aca="false">Hypothèses!C26*Hypothèses!C27</f>
        <v>0</v>
      </c>
      <c r="X17" s="25" t="n">
        <f aca="false">Hypothèses!C26*Hypothèses!C27</f>
        <v>0</v>
      </c>
      <c r="Y17" s="25" t="n">
        <f aca="false">Hypothèses!C26*Hypothèses!C27</f>
        <v>0</v>
      </c>
      <c r="Z17" s="25" t="n">
        <f aca="false">Hypothèses!C26*Hypothèses!C27</f>
        <v>0</v>
      </c>
      <c r="AA17" s="25" t="n">
        <f aca="false">Hypothèses!C26*Hypothèses!C27</f>
        <v>0</v>
      </c>
      <c r="AB17" s="25" t="n">
        <f aca="false">Hypothèses!C26*Hypothèses!C27</f>
        <v>0</v>
      </c>
      <c r="AC17" s="25" t="n">
        <f aca="false">Hypothèses!C26*Hypothèses!C27</f>
        <v>0</v>
      </c>
      <c r="AD17" s="25" t="n">
        <f aca="false">Hypothèses!C26*Hypothèses!C27</f>
        <v>0</v>
      </c>
      <c r="AE17" s="25" t="n">
        <f aca="false">Hypothèses!C26*Hypothèses!C27</f>
        <v>0</v>
      </c>
      <c r="AF17" s="25" t="n">
        <f aca="false">Hypothèses!C26*Hypothèses!C27</f>
        <v>0</v>
      </c>
      <c r="AG17" s="25" t="n">
        <f aca="false">Hypothèses!C26*Hypothèses!C27</f>
        <v>0</v>
      </c>
      <c r="AH17" s="25" t="n">
        <f aca="false">Hypothèses!C26*Hypothèses!C27</f>
        <v>0</v>
      </c>
      <c r="AI17" s="25" t="n">
        <f aca="false">Hypothèses!C26*Hypothèses!C27</f>
        <v>0</v>
      </c>
      <c r="AJ17" s="25" t="n">
        <f aca="false">Hypothèses!C26*Hypothèses!C27</f>
        <v>0</v>
      </c>
      <c r="AK17" s="25" t="n">
        <f aca="false">Hypothèses!C26*Hypothèses!C27</f>
        <v>0</v>
      </c>
    </row>
    <row r="18" customFormat="false" ht="15" hidden="false" customHeight="false" outlineLevel="0" collapsed="false">
      <c r="A18" s="24" t="s">
        <v>53</v>
      </c>
      <c r="B18" s="26" t="n">
        <f aca="false">SUM(B14:B17)</f>
        <v>0</v>
      </c>
      <c r="C18" s="26" t="n">
        <f aca="false">SUM(C14:C17)</f>
        <v>0</v>
      </c>
      <c r="D18" s="26" t="n">
        <f aca="false">SUM(D14:D17)</f>
        <v>0</v>
      </c>
      <c r="E18" s="26" t="n">
        <f aca="false">SUM(E14:E17)</f>
        <v>0</v>
      </c>
      <c r="F18" s="26" t="n">
        <f aca="false">SUM(F14:F17)</f>
        <v>0</v>
      </c>
      <c r="G18" s="26" t="n">
        <f aca="false">SUM(G14:G17)</f>
        <v>0</v>
      </c>
      <c r="H18" s="26" t="n">
        <f aca="false">SUM(H14:H17)</f>
        <v>0</v>
      </c>
      <c r="I18" s="26" t="n">
        <f aca="false">SUM(I14:I17)</f>
        <v>0</v>
      </c>
      <c r="J18" s="26" t="n">
        <f aca="false">SUM(J14:J17)</f>
        <v>0</v>
      </c>
      <c r="K18" s="26" t="n">
        <f aca="false">SUM(K14:K17)</f>
        <v>0</v>
      </c>
      <c r="L18" s="26" t="n">
        <f aca="false">SUM(L14:L17)</f>
        <v>0</v>
      </c>
      <c r="M18" s="26" t="n">
        <f aca="false">SUM(M14:M17)</f>
        <v>0</v>
      </c>
      <c r="N18" s="26" t="n">
        <f aca="false">SUM(N14:N17)</f>
        <v>0</v>
      </c>
      <c r="O18" s="26" t="n">
        <f aca="false">SUM(O14:O17)</f>
        <v>0</v>
      </c>
      <c r="P18" s="26" t="n">
        <f aca="false">SUM(P14:P17)</f>
        <v>0</v>
      </c>
      <c r="Q18" s="26" t="n">
        <f aca="false">SUM(Q14:Q17)</f>
        <v>0</v>
      </c>
      <c r="R18" s="26" t="n">
        <f aca="false">SUM(R14:R17)</f>
        <v>0</v>
      </c>
      <c r="S18" s="26" t="n">
        <f aca="false">SUM(S14:S17)</f>
        <v>0</v>
      </c>
      <c r="T18" s="26" t="n">
        <f aca="false">SUM(T14:T17)</f>
        <v>0</v>
      </c>
      <c r="U18" s="26" t="n">
        <f aca="false">SUM(U14:U17)</f>
        <v>0</v>
      </c>
      <c r="V18" s="26" t="n">
        <f aca="false">SUM(V14:V17)</f>
        <v>0</v>
      </c>
      <c r="W18" s="26" t="n">
        <f aca="false">SUM(W14:W17)</f>
        <v>0</v>
      </c>
      <c r="X18" s="26" t="n">
        <f aca="false">SUM(X14:X17)</f>
        <v>0</v>
      </c>
      <c r="Y18" s="26" t="n">
        <f aca="false">SUM(Y14:Y17)</f>
        <v>0</v>
      </c>
      <c r="Z18" s="26" t="n">
        <f aca="false">SUM(Z14:Z17)</f>
        <v>0</v>
      </c>
      <c r="AA18" s="26" t="n">
        <f aca="false">SUM(AA14:AA17)</f>
        <v>0</v>
      </c>
      <c r="AB18" s="26" t="n">
        <f aca="false">SUM(AB14:AB17)</f>
        <v>0</v>
      </c>
      <c r="AC18" s="26" t="n">
        <f aca="false">SUM(AC14:AC17)</f>
        <v>0</v>
      </c>
      <c r="AD18" s="26" t="n">
        <f aca="false">SUM(AD14:AD17)</f>
        <v>0</v>
      </c>
      <c r="AE18" s="26" t="n">
        <f aca="false">SUM(AE14:AE17)</f>
        <v>0</v>
      </c>
      <c r="AF18" s="26" t="n">
        <f aca="false">SUM(AF14:AF17)</f>
        <v>0</v>
      </c>
      <c r="AG18" s="26" t="n">
        <f aca="false">SUM(AG14:AG17)</f>
        <v>0</v>
      </c>
      <c r="AH18" s="26" t="n">
        <f aca="false">SUM(AH14:AH17)</f>
        <v>0</v>
      </c>
      <c r="AI18" s="26" t="n">
        <f aca="false">SUM(AI14:AI17)</f>
        <v>0</v>
      </c>
      <c r="AJ18" s="26" t="n">
        <f aca="false">SUM(AJ14:AJ17)</f>
        <v>0</v>
      </c>
      <c r="AK18" s="26" t="n">
        <f aca="false">SUM(AK14:AK17)</f>
        <v>0</v>
      </c>
    </row>
    <row r="19" customFormat="false" ht="15" hidden="false" customHeight="false" outlineLevel="0" collapsed="false">
      <c r="A19" s="3" t="s">
        <v>54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customFormat="false" ht="15" hidden="false" customHeight="false" outlineLevel="0" collapsed="false">
      <c r="A20" s="24" t="s">
        <v>55</v>
      </c>
      <c r="B20" s="27" t="n">
        <f aca="false">B12-B18</f>
        <v>2653.2</v>
      </c>
      <c r="C20" s="27" t="n">
        <f aca="false">C12-C18</f>
        <v>5306.4</v>
      </c>
      <c r="D20" s="27" t="n">
        <f aca="false">D12-D18</f>
        <v>7627.95</v>
      </c>
      <c r="E20" s="27" t="n">
        <f aca="false">E12-E18</f>
        <v>9949.5</v>
      </c>
      <c r="F20" s="27" t="n">
        <f aca="false">F12-F18</f>
        <v>11939.4</v>
      </c>
      <c r="G20" s="27" t="n">
        <f aca="false">G12-G18</f>
        <v>13929.3</v>
      </c>
      <c r="H20" s="27" t="n">
        <f aca="false">H12-H18</f>
        <v>17245.8</v>
      </c>
      <c r="I20" s="27" t="n">
        <f aca="false">I12-I18</f>
        <v>20230.65</v>
      </c>
      <c r="J20" s="27" t="n">
        <f aca="false">J12-J18</f>
        <v>23215.5</v>
      </c>
      <c r="K20" s="27" t="n">
        <f aca="false">K12-K18</f>
        <v>25868.7</v>
      </c>
      <c r="L20" s="27" t="n">
        <f aca="false">L12-L18</f>
        <v>28521.9</v>
      </c>
      <c r="M20" s="27" t="n">
        <f aca="false">M12-M18</f>
        <v>31175.1</v>
      </c>
      <c r="N20" s="27" t="n">
        <f aca="false">N12-N18</f>
        <v>35486.55</v>
      </c>
      <c r="O20" s="27" t="n">
        <f aca="false">O12-O18</f>
        <v>39798</v>
      </c>
      <c r="P20" s="27" t="n">
        <f aca="false">P12-P18</f>
        <v>43777.8</v>
      </c>
      <c r="Q20" s="27" t="n">
        <f aca="false">Q12-Q18</f>
        <v>47425.95</v>
      </c>
      <c r="R20" s="27" t="n">
        <f aca="false">R12-R18</f>
        <v>51074.1</v>
      </c>
      <c r="S20" s="27" t="n">
        <f aca="false">S12-S18</f>
        <v>54390.6</v>
      </c>
      <c r="T20" s="27" t="n">
        <f aca="false">T12-T18</f>
        <v>57707.1</v>
      </c>
      <c r="U20" s="27" t="n">
        <f aca="false">U12-U18</f>
        <v>60691.95</v>
      </c>
      <c r="V20" s="27" t="n">
        <f aca="false">V12-V18</f>
        <v>63676.8</v>
      </c>
      <c r="W20" s="27" t="n">
        <f aca="false">W12-W18</f>
        <v>66330</v>
      </c>
      <c r="X20" s="27" t="n">
        <f aca="false">X12-X18</f>
        <v>68983.2</v>
      </c>
      <c r="Y20" s="27" t="n">
        <f aca="false">Y12-Y18</f>
        <v>71636.4</v>
      </c>
      <c r="Z20" s="27" t="n">
        <f aca="false">Z12-Z18</f>
        <v>75284.55</v>
      </c>
      <c r="AA20" s="27" t="n">
        <f aca="false">AA12-AA18</f>
        <v>78932.7</v>
      </c>
      <c r="AB20" s="27" t="n">
        <f aca="false">AB12-AB18</f>
        <v>82249.2</v>
      </c>
      <c r="AC20" s="27" t="n">
        <f aca="false">AC12-AC18</f>
        <v>85565.7</v>
      </c>
      <c r="AD20" s="27" t="n">
        <f aca="false">AD12-AD18</f>
        <v>88550.55</v>
      </c>
      <c r="AE20" s="27" t="n">
        <f aca="false">AE12-AE18</f>
        <v>91535.4</v>
      </c>
      <c r="AF20" s="27" t="n">
        <f aca="false">AF12-AF18</f>
        <v>94188.6</v>
      </c>
      <c r="AG20" s="27" t="n">
        <f aca="false">AG12-AG18</f>
        <v>96841.8</v>
      </c>
      <c r="AH20" s="27" t="n">
        <f aca="false">AH12-AH18</f>
        <v>99163.35</v>
      </c>
      <c r="AI20" s="27" t="n">
        <f aca="false">AI12-AI18</f>
        <v>101484.9</v>
      </c>
      <c r="AJ20" s="27" t="n">
        <f aca="false">AJ12-AJ18</f>
        <v>103806.45</v>
      </c>
      <c r="AK20" s="27" t="n">
        <f aca="false">AK12-AK18</f>
        <v>105796.35</v>
      </c>
    </row>
    <row r="21" customFormat="false" ht="15" hidden="false" customHeight="false" outlineLevel="0" collapsed="false">
      <c r="A21" s="22" t="s">
        <v>56</v>
      </c>
      <c r="B21" s="28" t="n">
        <f aca="false">IF(B12&gt;0,B20/B12,"")</f>
        <v>1</v>
      </c>
      <c r="C21" s="28" t="n">
        <f aca="false">IF(C12&gt;0,C20/C12,"")</f>
        <v>1</v>
      </c>
      <c r="D21" s="28" t="n">
        <f aca="false">IF(D12&gt;0,D20/D12,"")</f>
        <v>1</v>
      </c>
      <c r="E21" s="28" t="n">
        <f aca="false">IF(E12&gt;0,E20/E12,"")</f>
        <v>1</v>
      </c>
      <c r="F21" s="28" t="n">
        <f aca="false">IF(F12&gt;0,F20/F12,"")</f>
        <v>1</v>
      </c>
      <c r="G21" s="28" t="n">
        <f aca="false">IF(G12&gt;0,G20/G12,"")</f>
        <v>1</v>
      </c>
      <c r="H21" s="28" t="n">
        <f aca="false">IF(H12&gt;0,H20/H12,"")</f>
        <v>1</v>
      </c>
      <c r="I21" s="28" t="n">
        <f aca="false">IF(I12&gt;0,I20/I12,"")</f>
        <v>1</v>
      </c>
      <c r="J21" s="28" t="n">
        <f aca="false">IF(J12&gt;0,J20/J12,"")</f>
        <v>1</v>
      </c>
      <c r="K21" s="28" t="n">
        <f aca="false">IF(K12&gt;0,K20/K12,"")</f>
        <v>1</v>
      </c>
      <c r="L21" s="28" t="n">
        <f aca="false">IF(L12&gt;0,L20/L12,"")</f>
        <v>1</v>
      </c>
      <c r="M21" s="28" t="n">
        <f aca="false">IF(M12&gt;0,M20/M12,"")</f>
        <v>1</v>
      </c>
      <c r="N21" s="28" t="n">
        <f aca="false">IF(N12&gt;0,N20/N12,"")</f>
        <v>1</v>
      </c>
      <c r="O21" s="28" t="n">
        <f aca="false">IF(O12&gt;0,O20/O12,"")</f>
        <v>1</v>
      </c>
      <c r="P21" s="28" t="n">
        <f aca="false">IF(P12&gt;0,P20/P12,"")</f>
        <v>1</v>
      </c>
      <c r="Q21" s="28" t="n">
        <f aca="false">IF(Q12&gt;0,Q20/Q12,"")</f>
        <v>1</v>
      </c>
      <c r="R21" s="28" t="n">
        <f aca="false">IF(R12&gt;0,R20/R12,"")</f>
        <v>1</v>
      </c>
      <c r="S21" s="28" t="n">
        <f aca="false">IF(S12&gt;0,S20/S12,"")</f>
        <v>1</v>
      </c>
      <c r="T21" s="28" t="n">
        <f aca="false">IF(T12&gt;0,T20/T12,"")</f>
        <v>1</v>
      </c>
      <c r="U21" s="28" t="n">
        <f aca="false">IF(U12&gt;0,U20/U12,"")</f>
        <v>1</v>
      </c>
      <c r="V21" s="28" t="n">
        <f aca="false">IF(V12&gt;0,V20/V12,"")</f>
        <v>1</v>
      </c>
      <c r="W21" s="28" t="n">
        <f aca="false">IF(W12&gt;0,W20/W12,"")</f>
        <v>1</v>
      </c>
      <c r="X21" s="28" t="n">
        <f aca="false">IF(X12&gt;0,X20/X12,"")</f>
        <v>1</v>
      </c>
      <c r="Y21" s="28" t="n">
        <f aca="false">IF(Y12&gt;0,Y20/Y12,"")</f>
        <v>1</v>
      </c>
      <c r="Z21" s="28" t="n">
        <f aca="false">IF(Z12&gt;0,Z20/Z12,"")</f>
        <v>1</v>
      </c>
      <c r="AA21" s="28" t="n">
        <f aca="false">IF(AA12&gt;0,AA20/AA12,"")</f>
        <v>1</v>
      </c>
      <c r="AB21" s="28" t="n">
        <f aca="false">IF(AB12&gt;0,AB20/AB12,"")</f>
        <v>1</v>
      </c>
      <c r="AC21" s="28" t="n">
        <f aca="false">IF(AC12&gt;0,AC20/AC12,"")</f>
        <v>1</v>
      </c>
      <c r="AD21" s="28" t="n">
        <f aca="false">IF(AD12&gt;0,AD20/AD12,"")</f>
        <v>1</v>
      </c>
      <c r="AE21" s="28" t="n">
        <f aca="false">IF(AE12&gt;0,AE20/AE12,"")</f>
        <v>1</v>
      </c>
      <c r="AF21" s="28" t="n">
        <f aca="false">IF(AF12&gt;0,AF20/AF12,"")</f>
        <v>1</v>
      </c>
      <c r="AG21" s="28" t="n">
        <f aca="false">IF(AG12&gt;0,AG20/AG12,"")</f>
        <v>1</v>
      </c>
      <c r="AH21" s="28" t="n">
        <f aca="false">IF(AH12&gt;0,AH20/AH12,"")</f>
        <v>1</v>
      </c>
      <c r="AI21" s="28" t="n">
        <f aca="false">IF(AI12&gt;0,AI20/AI12,"")</f>
        <v>1</v>
      </c>
      <c r="AJ21" s="28" t="n">
        <f aca="false">IF(AJ12&gt;0,AJ20/AJ12,"")</f>
        <v>1</v>
      </c>
      <c r="AK21" s="28" t="n">
        <f aca="false">IF(AK12&gt;0,AK20/AK12,"")</f>
        <v>1</v>
      </c>
    </row>
    <row r="22" customFormat="false" ht="15" hidden="false" customHeight="false" outlineLevel="0" collapsed="false">
      <c r="A22" s="3" t="s">
        <v>57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customFormat="false" ht="15" hidden="false" customHeight="false" outlineLevel="0" collapsed="false">
      <c r="A23" s="22" t="s">
        <v>58</v>
      </c>
      <c r="B23" s="23" t="n">
        <f aca="false">Hypothèses!B30+Hypothèses!B31</f>
        <v>600</v>
      </c>
      <c r="C23" s="23" t="n">
        <f aca="false">B23+Hypothèses!B31</f>
        <v>1200</v>
      </c>
      <c r="D23" s="23" t="n">
        <f aca="false">C23+Hypothèses!B31</f>
        <v>1800</v>
      </c>
      <c r="E23" s="23" t="n">
        <f aca="false">D23+Hypothèses!B31</f>
        <v>2400</v>
      </c>
      <c r="F23" s="23" t="n">
        <f aca="false">E23+Hypothèses!B31</f>
        <v>3000</v>
      </c>
      <c r="G23" s="23" t="n">
        <f aca="false">F23+Hypothèses!B31</f>
        <v>3600</v>
      </c>
      <c r="H23" s="23" t="n">
        <f aca="false">G23+Hypothèses!B32</f>
        <v>5100</v>
      </c>
      <c r="I23" s="23" t="n">
        <f aca="false">H23+Hypothèses!B32</f>
        <v>6600</v>
      </c>
      <c r="J23" s="23" t="n">
        <f aca="false">I23+Hypothèses!B32</f>
        <v>8100</v>
      </c>
      <c r="K23" s="23" t="n">
        <f aca="false">J23+Hypothèses!B32</f>
        <v>9600</v>
      </c>
      <c r="L23" s="23" t="n">
        <f aca="false">K23+Hypothèses!B32</f>
        <v>11100</v>
      </c>
      <c r="M23" s="23" t="n">
        <f aca="false">L23+Hypothèses!B32</f>
        <v>12600</v>
      </c>
      <c r="N23" s="23" t="n">
        <f aca="false">M23+Hypothèses!B33</f>
        <v>16600</v>
      </c>
      <c r="O23" s="23" t="n">
        <f aca="false">N23+Hypothèses!B33</f>
        <v>20600</v>
      </c>
      <c r="P23" s="23" t="n">
        <f aca="false">O23+Hypothèses!B33</f>
        <v>24600</v>
      </c>
      <c r="Q23" s="23" t="n">
        <f aca="false">P23+Hypothèses!B33</f>
        <v>28600</v>
      </c>
      <c r="R23" s="23" t="n">
        <f aca="false">Q23+Hypothèses!B33</f>
        <v>32600</v>
      </c>
      <c r="S23" s="23" t="n">
        <f aca="false">R23+Hypothèses!B33</f>
        <v>36600</v>
      </c>
      <c r="T23" s="23" t="n">
        <f aca="false">S23+Hypothèses!B33</f>
        <v>40600</v>
      </c>
      <c r="U23" s="23" t="n">
        <f aca="false">T23+Hypothèses!B33</f>
        <v>44600</v>
      </c>
      <c r="V23" s="23" t="n">
        <f aca="false">U23+Hypothèses!B33</f>
        <v>48600</v>
      </c>
      <c r="W23" s="23" t="n">
        <f aca="false">V23+Hypothèses!B33</f>
        <v>52600</v>
      </c>
      <c r="X23" s="23" t="n">
        <f aca="false">W23+Hypothèses!B33</f>
        <v>56600</v>
      </c>
      <c r="Y23" s="23" t="n">
        <f aca="false">X23+Hypothèses!B33</f>
        <v>60600</v>
      </c>
      <c r="Z23" s="23" t="n">
        <f aca="false">Y23+Hypothèses!B33</f>
        <v>64600</v>
      </c>
      <c r="AA23" s="23" t="n">
        <f aca="false">Z23+Hypothèses!B33</f>
        <v>68600</v>
      </c>
      <c r="AB23" s="23" t="n">
        <f aca="false">AA23+Hypothèses!B33</f>
        <v>72600</v>
      </c>
      <c r="AC23" s="23" t="n">
        <f aca="false">AB23+Hypothèses!B33</f>
        <v>76600</v>
      </c>
      <c r="AD23" s="23" t="n">
        <f aca="false">AC23+Hypothèses!B33</f>
        <v>80600</v>
      </c>
      <c r="AE23" s="23" t="n">
        <f aca="false">AD23+Hypothèses!B33</f>
        <v>84600</v>
      </c>
      <c r="AF23" s="23" t="n">
        <f aca="false">AE23+Hypothèses!B33</f>
        <v>88600</v>
      </c>
      <c r="AG23" s="23" t="n">
        <f aca="false">AF23+Hypothèses!B33</f>
        <v>92600</v>
      </c>
      <c r="AH23" s="23" t="n">
        <f aca="false">AG23+Hypothèses!B33</f>
        <v>96600</v>
      </c>
      <c r="AI23" s="23" t="n">
        <f aca="false">AH23+Hypothèses!B33</f>
        <v>100600</v>
      </c>
      <c r="AJ23" s="23" t="n">
        <f aca="false">AI23+Hypothèses!B33</f>
        <v>104600</v>
      </c>
      <c r="AK23" s="23" t="n">
        <f aca="false">AJ23+Hypothèses!B33</f>
        <v>108600</v>
      </c>
    </row>
    <row r="24" customFormat="false" ht="15" hidden="false" customHeight="false" outlineLevel="0" collapsed="false">
      <c r="A24" s="22" t="s">
        <v>59</v>
      </c>
      <c r="B24" s="23" t="n">
        <f aca="false">B23*Hypothèses!B34</f>
        <v>720</v>
      </c>
      <c r="C24" s="23" t="n">
        <f aca="false">C23*Hypothèses!B34</f>
        <v>1440</v>
      </c>
      <c r="D24" s="23" t="n">
        <f aca="false">D23*Hypothèses!B34</f>
        <v>2160</v>
      </c>
      <c r="E24" s="23" t="n">
        <f aca="false">E23*Hypothèses!B34</f>
        <v>2880</v>
      </c>
      <c r="F24" s="23" t="n">
        <f aca="false">F23*Hypothèses!B34</f>
        <v>3600</v>
      </c>
      <c r="G24" s="23" t="n">
        <f aca="false">G23*Hypothèses!B34</f>
        <v>4320</v>
      </c>
      <c r="H24" s="23" t="n">
        <f aca="false">H23*Hypothèses!B34</f>
        <v>6120</v>
      </c>
      <c r="I24" s="23" t="n">
        <f aca="false">I23*Hypothèses!B34</f>
        <v>7920</v>
      </c>
      <c r="J24" s="23" t="n">
        <f aca="false">J23*Hypothèses!B34</f>
        <v>9720</v>
      </c>
      <c r="K24" s="23" t="n">
        <f aca="false">K23*Hypothèses!B34</f>
        <v>11520</v>
      </c>
      <c r="L24" s="23" t="n">
        <f aca="false">L23*Hypothèses!B34</f>
        <v>13320</v>
      </c>
      <c r="M24" s="23" t="n">
        <f aca="false">M23*Hypothèses!B34</f>
        <v>15120</v>
      </c>
      <c r="N24" s="23" t="n">
        <f aca="false">N23*Hypothèses!B34</f>
        <v>19920</v>
      </c>
      <c r="O24" s="23" t="n">
        <f aca="false">O23*Hypothèses!B34</f>
        <v>24720</v>
      </c>
      <c r="P24" s="23" t="n">
        <f aca="false">P23*Hypothèses!B34</f>
        <v>29520</v>
      </c>
      <c r="Q24" s="23" t="n">
        <f aca="false">Q23*Hypothèses!B34</f>
        <v>34320</v>
      </c>
      <c r="R24" s="23" t="n">
        <f aca="false">R23*Hypothèses!B34</f>
        <v>39120</v>
      </c>
      <c r="S24" s="23" t="n">
        <f aca="false">S23*Hypothèses!B34</f>
        <v>43920</v>
      </c>
      <c r="T24" s="23" t="n">
        <f aca="false">T23*Hypothèses!B34</f>
        <v>48720</v>
      </c>
      <c r="U24" s="23" t="n">
        <f aca="false">U23*Hypothèses!B34</f>
        <v>53520</v>
      </c>
      <c r="V24" s="23" t="n">
        <f aca="false">V23*Hypothèses!B34</f>
        <v>58320</v>
      </c>
      <c r="W24" s="23" t="n">
        <f aca="false">W23*Hypothèses!B34</f>
        <v>63120</v>
      </c>
      <c r="X24" s="23" t="n">
        <f aca="false">X23*Hypothèses!B34</f>
        <v>67920</v>
      </c>
      <c r="Y24" s="23" t="n">
        <f aca="false">Y23*Hypothèses!B34</f>
        <v>72720</v>
      </c>
      <c r="Z24" s="23" t="n">
        <f aca="false">Z23*Hypothèses!B34</f>
        <v>77520</v>
      </c>
      <c r="AA24" s="23" t="n">
        <f aca="false">AA23*Hypothèses!B34</f>
        <v>82320</v>
      </c>
      <c r="AB24" s="23" t="n">
        <f aca="false">AB23*Hypothèses!B34</f>
        <v>87120</v>
      </c>
      <c r="AC24" s="23" t="n">
        <f aca="false">AC23*Hypothèses!B34</f>
        <v>91920</v>
      </c>
      <c r="AD24" s="23" t="n">
        <f aca="false">AD23*Hypothèses!B34</f>
        <v>96720</v>
      </c>
      <c r="AE24" s="23" t="n">
        <f aca="false">AE23*Hypothèses!B34</f>
        <v>101520</v>
      </c>
      <c r="AF24" s="23" t="n">
        <f aca="false">AF23*Hypothèses!B34</f>
        <v>106320</v>
      </c>
      <c r="AG24" s="23" t="n">
        <f aca="false">AG23*Hypothèses!B34</f>
        <v>111120</v>
      </c>
      <c r="AH24" s="23" t="n">
        <f aca="false">AH23*Hypothèses!B34</f>
        <v>115920</v>
      </c>
      <c r="AI24" s="23" t="n">
        <f aca="false">AI23*Hypothèses!B34</f>
        <v>120720</v>
      </c>
      <c r="AJ24" s="23" t="n">
        <f aca="false">AJ23*Hypothèses!B34</f>
        <v>125520</v>
      </c>
      <c r="AK24" s="23" t="n">
        <f aca="false">AK23*Hypothèses!B34</f>
        <v>130320</v>
      </c>
    </row>
    <row r="25" customFormat="false" ht="15" hidden="false" customHeight="false" outlineLevel="0" collapsed="false">
      <c r="A25" s="22" t="s">
        <v>60</v>
      </c>
      <c r="B25" s="25" t="n">
        <f aca="false">IF(Hypothèses!B17&gt;0,Hypothèses!B37/Hypothèses!B17,0)</f>
        <v>6030</v>
      </c>
      <c r="C25" s="25" t="n">
        <f aca="false">IF(Hypothèses!B17&gt;0,Hypothèses!B37/Hypothèses!B17,0)</f>
        <v>6030</v>
      </c>
      <c r="D25" s="25" t="n">
        <f aca="false">IF(Hypothèses!B17&gt;0,Hypothèses!B37/Hypothèses!B17,0)</f>
        <v>6030</v>
      </c>
      <c r="E25" s="25" t="n">
        <f aca="false">IF(Hypothèses!B17&gt;0,Hypothèses!B37/Hypothèses!B17,0)</f>
        <v>6030</v>
      </c>
      <c r="F25" s="25" t="n">
        <f aca="false">IF(Hypothèses!B17&gt;0,Hypothèses!B37/Hypothèses!B17,0)</f>
        <v>6030</v>
      </c>
      <c r="G25" s="25" t="n">
        <f aca="false">IF(Hypothèses!B17&gt;0,Hypothèses!B37/Hypothèses!B17,0)</f>
        <v>6030</v>
      </c>
      <c r="H25" s="25" t="n">
        <f aca="false">IF(Hypothèses!B17&gt;0,Hypothèses!B37/Hypothèses!B17,0)</f>
        <v>6030</v>
      </c>
      <c r="I25" s="25" t="n">
        <f aca="false">IF(Hypothèses!B17&gt;0,Hypothèses!B37/Hypothèses!B17,0)</f>
        <v>6030</v>
      </c>
      <c r="J25" s="25" t="n">
        <f aca="false">IF(Hypothèses!B17&gt;0,Hypothèses!B37/Hypothèses!B17,0)</f>
        <v>6030</v>
      </c>
      <c r="K25" s="25" t="n">
        <f aca="false">IF(Hypothèses!B17&gt;0,Hypothèses!B37/Hypothèses!B17,0)</f>
        <v>6030</v>
      </c>
      <c r="L25" s="25" t="n">
        <f aca="false">IF(Hypothèses!B17&gt;0,Hypothèses!B37/Hypothèses!B17,0)</f>
        <v>6030</v>
      </c>
      <c r="M25" s="25" t="n">
        <f aca="false">IF(Hypothèses!B17&gt;0,Hypothèses!B37/Hypothèses!B17,0)</f>
        <v>6030</v>
      </c>
      <c r="N25" s="25" t="n">
        <f aca="false">IF(Hypothèses!B17&gt;0,Hypothèses!B37/Hypothèses!B17,0)</f>
        <v>6030</v>
      </c>
      <c r="O25" s="25" t="n">
        <f aca="false">IF(Hypothèses!B17&gt;0,Hypothèses!B37/Hypothèses!B17,0)</f>
        <v>6030</v>
      </c>
      <c r="P25" s="25" t="n">
        <f aca="false">IF(Hypothèses!B17&gt;0,Hypothèses!B37/Hypothèses!B17,0)</f>
        <v>6030</v>
      </c>
      <c r="Q25" s="25" t="n">
        <f aca="false">IF(Hypothèses!B17&gt;0,Hypothèses!B37/Hypothèses!B17,0)</f>
        <v>6030</v>
      </c>
      <c r="R25" s="25" t="n">
        <f aca="false">IF(Hypothèses!B17&gt;0,Hypothèses!B37/Hypothèses!B17,0)</f>
        <v>6030</v>
      </c>
      <c r="S25" s="25" t="n">
        <f aca="false">IF(Hypothèses!B17&gt;0,Hypothèses!B37/Hypothèses!B17,0)</f>
        <v>6030</v>
      </c>
      <c r="T25" s="25" t="n">
        <f aca="false">IF(Hypothèses!B17&gt;0,Hypothèses!B37/Hypothèses!B17,0)</f>
        <v>6030</v>
      </c>
      <c r="U25" s="25" t="n">
        <f aca="false">IF(Hypothèses!B17&gt;0,Hypothèses!B37/Hypothèses!B17,0)</f>
        <v>6030</v>
      </c>
      <c r="V25" s="25" t="n">
        <f aca="false">IF(Hypothèses!B17&gt;0,Hypothèses!B37/Hypothèses!B17,0)</f>
        <v>6030</v>
      </c>
      <c r="W25" s="25" t="n">
        <f aca="false">IF(Hypothèses!B17&gt;0,Hypothèses!B37/Hypothèses!B17,0)</f>
        <v>6030</v>
      </c>
      <c r="X25" s="25" t="n">
        <f aca="false">IF(Hypothèses!B17&gt;0,Hypothèses!B37/Hypothèses!B17,0)</f>
        <v>6030</v>
      </c>
      <c r="Y25" s="25" t="n">
        <f aca="false">IF(Hypothèses!B17&gt;0,Hypothèses!B37/Hypothèses!B17,0)</f>
        <v>6030</v>
      </c>
      <c r="Z25" s="25" t="n">
        <f aca="false">IF(Hypothèses!B17&gt;0,Hypothèses!B37/Hypothèses!B17,0)</f>
        <v>6030</v>
      </c>
      <c r="AA25" s="25" t="n">
        <f aca="false">IF(Hypothèses!B17&gt;0,Hypothèses!B37/Hypothèses!B17,0)</f>
        <v>6030</v>
      </c>
      <c r="AB25" s="25" t="n">
        <f aca="false">IF(Hypothèses!B17&gt;0,Hypothèses!B37/Hypothèses!B17,0)</f>
        <v>6030</v>
      </c>
      <c r="AC25" s="25" t="n">
        <f aca="false">IF(Hypothèses!B17&gt;0,Hypothèses!B37/Hypothèses!B17,0)</f>
        <v>6030</v>
      </c>
      <c r="AD25" s="25" t="n">
        <f aca="false">IF(Hypothèses!B17&gt;0,Hypothèses!B37/Hypothèses!B17,0)</f>
        <v>6030</v>
      </c>
      <c r="AE25" s="25" t="n">
        <f aca="false">IF(Hypothèses!B17&gt;0,Hypothèses!B37/Hypothèses!B17,0)</f>
        <v>6030</v>
      </c>
      <c r="AF25" s="25" t="n">
        <f aca="false">IF(Hypothèses!B17&gt;0,Hypothèses!B37/Hypothèses!B17,0)</f>
        <v>6030</v>
      </c>
      <c r="AG25" s="25" t="n">
        <f aca="false">IF(Hypothèses!B17&gt;0,Hypothèses!B37/Hypothèses!B17,0)</f>
        <v>6030</v>
      </c>
      <c r="AH25" s="25" t="n">
        <f aca="false">IF(Hypothèses!B17&gt;0,Hypothèses!B37/Hypothèses!B17,0)</f>
        <v>6030</v>
      </c>
      <c r="AI25" s="25" t="n">
        <f aca="false">IF(Hypothèses!B17&gt;0,Hypothèses!B37/Hypothèses!B17,0)</f>
        <v>6030</v>
      </c>
      <c r="AJ25" s="25" t="n">
        <f aca="false">IF(Hypothèses!B17&gt;0,Hypothèses!B37/Hypothèses!B17,0)</f>
        <v>6030</v>
      </c>
      <c r="AK25" s="25" t="n">
        <f aca="false">IF(Hypothèses!B17&gt;0,Hypothèses!B37/Hypothèses!B17,0)</f>
        <v>6030</v>
      </c>
    </row>
    <row r="26" customFormat="false" ht="15" hidden="false" customHeight="false" outlineLevel="0" collapsed="false">
      <c r="A26" s="22" t="s">
        <v>61</v>
      </c>
      <c r="B26" s="29" t="n">
        <f aca="false">IF(Hypothèses!C22&gt;0,B25/Hypothèses!C22,0)</f>
        <v>0</v>
      </c>
      <c r="C26" s="29" t="n">
        <f aca="false">IF(Hypothèses!C22&gt;0,C25/Hypothèses!C22,0)</f>
        <v>0</v>
      </c>
      <c r="D26" s="29" t="n">
        <f aca="false">IF(Hypothèses!C22&gt;0,D25/Hypothèses!C22,0)</f>
        <v>0</v>
      </c>
      <c r="E26" s="29" t="n">
        <f aca="false">IF(Hypothèses!C22&gt;0,E25/Hypothèses!C22,0)</f>
        <v>0</v>
      </c>
      <c r="F26" s="29" t="n">
        <f aca="false">IF(Hypothèses!C22&gt;0,F25/Hypothèses!C22,0)</f>
        <v>0</v>
      </c>
      <c r="G26" s="29" t="n">
        <f aca="false">IF(Hypothèses!C22&gt;0,G25/Hypothèses!C22,0)</f>
        <v>0</v>
      </c>
      <c r="H26" s="29" t="n">
        <f aca="false">IF(Hypothèses!C22&gt;0,H25/Hypothèses!C22,0)</f>
        <v>0</v>
      </c>
      <c r="I26" s="29" t="n">
        <f aca="false">IF(Hypothèses!C22&gt;0,I25/Hypothèses!C22,0)</f>
        <v>0</v>
      </c>
      <c r="J26" s="29" t="n">
        <f aca="false">IF(Hypothèses!C22&gt;0,J25/Hypothèses!C22,0)</f>
        <v>0</v>
      </c>
      <c r="K26" s="29" t="n">
        <f aca="false">IF(Hypothèses!C22&gt;0,K25/Hypothèses!C22,0)</f>
        <v>0</v>
      </c>
      <c r="L26" s="29" t="n">
        <f aca="false">IF(Hypothèses!C22&gt;0,L25/Hypothèses!C22,0)</f>
        <v>0</v>
      </c>
      <c r="M26" s="29" t="n">
        <f aca="false">IF(Hypothèses!C22&gt;0,M25/Hypothèses!C22,0)</f>
        <v>0</v>
      </c>
      <c r="N26" s="29" t="n">
        <f aca="false">IF(Hypothèses!C22&gt;0,N25/Hypothèses!C22,0)</f>
        <v>0</v>
      </c>
      <c r="O26" s="29" t="n">
        <f aca="false">IF(Hypothèses!C22&gt;0,O25/Hypothèses!C22,0)</f>
        <v>0</v>
      </c>
      <c r="P26" s="29" t="n">
        <f aca="false">IF(Hypothèses!C22&gt;0,P25/Hypothèses!C22,0)</f>
        <v>0</v>
      </c>
      <c r="Q26" s="29" t="n">
        <f aca="false">IF(Hypothèses!C22&gt;0,Q25/Hypothèses!C22,0)</f>
        <v>0</v>
      </c>
      <c r="R26" s="29" t="n">
        <f aca="false">IF(Hypothèses!C22&gt;0,R25/Hypothèses!C22,0)</f>
        <v>0</v>
      </c>
      <c r="S26" s="29" t="n">
        <f aca="false">IF(Hypothèses!C22&gt;0,S25/Hypothèses!C22,0)</f>
        <v>0</v>
      </c>
      <c r="T26" s="29" t="n">
        <f aca="false">IF(Hypothèses!C22&gt;0,T25/Hypothèses!C22,0)</f>
        <v>0</v>
      </c>
      <c r="U26" s="29" t="n">
        <f aca="false">IF(Hypothèses!C22&gt;0,U25/Hypothèses!C22,0)</f>
        <v>0</v>
      </c>
      <c r="V26" s="29" t="n">
        <f aca="false">IF(Hypothèses!C22&gt;0,V25/Hypothèses!C22,0)</f>
        <v>0</v>
      </c>
      <c r="W26" s="29" t="n">
        <f aca="false">IF(Hypothèses!C22&gt;0,W25/Hypothèses!C22,0)</f>
        <v>0</v>
      </c>
      <c r="X26" s="29" t="n">
        <f aca="false">IF(Hypothèses!C22&gt;0,X25/Hypothèses!C22,0)</f>
        <v>0</v>
      </c>
      <c r="Y26" s="29" t="n">
        <f aca="false">IF(Hypothèses!C22&gt;0,Y25/Hypothèses!C22,0)</f>
        <v>0</v>
      </c>
      <c r="Z26" s="29" t="n">
        <f aca="false">IF(Hypothèses!C22&gt;0,Z25/Hypothèses!C22,0)</f>
        <v>0</v>
      </c>
      <c r="AA26" s="29" t="n">
        <f aca="false">IF(Hypothèses!C22&gt;0,AA25/Hypothèses!C22,0)</f>
        <v>0</v>
      </c>
      <c r="AB26" s="29" t="n">
        <f aca="false">IF(Hypothèses!C22&gt;0,AB25/Hypothèses!C22,0)</f>
        <v>0</v>
      </c>
      <c r="AC26" s="29" t="n">
        <f aca="false">IF(Hypothèses!C22&gt;0,AC25/Hypothèses!C22,0)</f>
        <v>0</v>
      </c>
      <c r="AD26" s="29" t="n">
        <f aca="false">IF(Hypothèses!C22&gt;0,AD25/Hypothèses!C22,0)</f>
        <v>0</v>
      </c>
      <c r="AE26" s="29" t="n">
        <f aca="false">IF(Hypothèses!C22&gt;0,AE25/Hypothèses!C22,0)</f>
        <v>0</v>
      </c>
      <c r="AF26" s="29" t="n">
        <f aca="false">IF(Hypothèses!C22&gt;0,AF25/Hypothèses!C22,0)</f>
        <v>0</v>
      </c>
      <c r="AG26" s="29" t="n">
        <f aca="false">IF(Hypothèses!C22&gt;0,AG25/Hypothèses!C22,0)</f>
        <v>0</v>
      </c>
      <c r="AH26" s="29" t="n">
        <f aca="false">IF(Hypothèses!C22&gt;0,AH25/Hypothèses!C22,0)</f>
        <v>0</v>
      </c>
      <c r="AI26" s="29" t="n">
        <f aca="false">IF(Hypothèses!C22&gt;0,AI25/Hypothèses!C22,0)</f>
        <v>0</v>
      </c>
      <c r="AJ26" s="29" t="n">
        <f aca="false">IF(Hypothèses!C22&gt;0,AJ25/Hypothèses!C22,0)</f>
        <v>0</v>
      </c>
      <c r="AK26" s="29" t="n">
        <f aca="false">IF(Hypothèses!C22&gt;0,AK25/Hypothèses!C22,0)</f>
        <v>0</v>
      </c>
    </row>
  </sheetData>
  <mergeCells count="6">
    <mergeCell ref="A1:AN1"/>
    <mergeCell ref="A3:AK3"/>
    <mergeCell ref="A7:AK7"/>
    <mergeCell ref="A13:AK13"/>
    <mergeCell ref="A19:AK19"/>
    <mergeCell ref="A22:AK22"/>
  </mergeCells>
  <conditionalFormatting sqref="B20:AK2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0"/>
  </cols>
  <sheetData>
    <row r="1" customFormat="false" ht="16.15" hidden="false" customHeight="false" outlineLevel="0" collapsed="false">
      <c r="A1" s="19" t="s">
        <v>62</v>
      </c>
      <c r="B1" s="19"/>
      <c r="C1" s="19"/>
      <c r="D1" s="19"/>
      <c r="E1" s="19"/>
      <c r="F1" s="19"/>
      <c r="G1" s="19"/>
      <c r="H1" s="19"/>
    </row>
    <row r="3" customFormat="false" ht="15" hidden="false" customHeight="false" outlineLevel="0" collapsed="false">
      <c r="A3" s="30" t="s">
        <v>63</v>
      </c>
      <c r="B3" s="31" t="s">
        <v>64</v>
      </c>
      <c r="C3" s="32" t="s">
        <v>65</v>
      </c>
      <c r="D3" s="33" t="s">
        <v>66</v>
      </c>
    </row>
    <row r="4" customFormat="false" ht="15" hidden="false" customHeight="false" outlineLevel="0" collapsed="false">
      <c r="A4" s="34" t="s">
        <v>67</v>
      </c>
      <c r="B4" s="35" t="n">
        <f aca="false">MAX('Projections Mensuelles'!B6:M6)</f>
        <v>94</v>
      </c>
      <c r="C4" s="35" t="n">
        <f aca="false">MAX('Projections Mensuelles'!N6:Y6)</f>
        <v>216</v>
      </c>
      <c r="D4" s="35" t="n">
        <f aca="false">MAX('Projections Mensuelles'!Z6:AK6)</f>
        <v>319</v>
      </c>
    </row>
    <row r="5" customFormat="false" ht="15" hidden="false" customHeight="false" outlineLevel="0" collapsed="false">
      <c r="A5" s="36" t="s">
        <v>40</v>
      </c>
      <c r="B5" s="35" t="n">
        <f aca="false">SUM('Projections Mensuelles'!B4:M4)</f>
        <v>120</v>
      </c>
      <c r="C5" s="35" t="n">
        <f aca="false">SUM('Projections Mensuelles'!N4:Y4)</f>
        <v>216</v>
      </c>
      <c r="D5" s="35" t="n">
        <f aca="false">SUM('Projections Mensuelles'!Z4:AK4)</f>
        <v>264</v>
      </c>
    </row>
    <row r="6" customFormat="false" ht="15" hidden="false" customHeight="false" outlineLevel="0" collapsed="false">
      <c r="A6" s="34" t="s">
        <v>68</v>
      </c>
      <c r="B6" s="37" t="n">
        <f aca="false">MAX('Projections Mensuelles'!B8:M8)</f>
        <v>28341</v>
      </c>
      <c r="C6" s="37" t="n">
        <f aca="false">MAX('Projections Mensuelles'!N8:Y8)</f>
        <v>65124</v>
      </c>
      <c r="D6" s="37" t="n">
        <f aca="false">MAX('Projections Mensuelles'!Z8:AK8)</f>
        <v>96178.5</v>
      </c>
    </row>
    <row r="7" customFormat="false" ht="15" hidden="false" customHeight="false" outlineLevel="0" collapsed="false">
      <c r="A7" s="38" t="s">
        <v>69</v>
      </c>
      <c r="B7" s="27" t="n">
        <f aca="false">MAX('Projections Mensuelles'!B9:M9)</f>
        <v>340092</v>
      </c>
      <c r="C7" s="27" t="n">
        <f aca="false">MAX('Projections Mensuelles'!N9:Y9)</f>
        <v>781488</v>
      </c>
      <c r="D7" s="27" t="n">
        <f aca="false">MAX('Projections Mensuelles'!Z9:AK9)</f>
        <v>1154142</v>
      </c>
    </row>
    <row r="8" customFormat="false" ht="15" hidden="false" customHeight="false" outlineLevel="0" collapsed="false">
      <c r="A8" s="6" t="s">
        <v>70</v>
      </c>
      <c r="B8" s="37" t="n">
        <f aca="false">SUM('Projections Mensuelles'!B12:M12)</f>
        <v>197663.4</v>
      </c>
      <c r="C8" s="37" t="n">
        <f aca="false">SUM('Projections Mensuelles'!N12:Y12)</f>
        <v>660978.45</v>
      </c>
      <c r="D8" s="37" t="n">
        <f aca="false">SUM('Projections Mensuelles'!Z12:AK12)</f>
        <v>1103399.55</v>
      </c>
    </row>
    <row r="9" customFormat="false" ht="15" hidden="false" customHeight="false" outlineLevel="0" collapsed="false">
      <c r="A9" s="36" t="s">
        <v>71</v>
      </c>
      <c r="B9" s="37" t="n">
        <f aca="false">SUM('Projections Mensuelles'!B18:M18)</f>
        <v>0</v>
      </c>
      <c r="C9" s="37" t="n">
        <f aca="false">SUM('Projections Mensuelles'!N18:Y18)</f>
        <v>0</v>
      </c>
      <c r="D9" s="37" t="n">
        <f aca="false">SUM('Projections Mensuelles'!Z18:AK18)</f>
        <v>0</v>
      </c>
    </row>
    <row r="10" customFormat="false" ht="15" hidden="false" customHeight="false" outlineLevel="0" collapsed="false">
      <c r="A10" s="6" t="s">
        <v>55</v>
      </c>
      <c r="B10" s="27" t="n">
        <f aca="false">SUM('Projections Mensuelles'!B20:M20)</f>
        <v>197663.4</v>
      </c>
      <c r="C10" s="27" t="n">
        <f aca="false">SUM('Projections Mensuelles'!N20:Y20)</f>
        <v>660978.45</v>
      </c>
      <c r="D10" s="27" t="n">
        <f aca="false">SUM('Projections Mensuelles'!Z20:AK20)</f>
        <v>1103399.55</v>
      </c>
    </row>
    <row r="11" customFormat="false" ht="15" hidden="false" customHeight="false" outlineLevel="0" collapsed="false">
      <c r="A11" s="36" t="s">
        <v>56</v>
      </c>
      <c r="B11" s="39" t="n">
        <f aca="false">IF(B8&gt;0,B10/B8,"")</f>
        <v>1</v>
      </c>
      <c r="C11" s="39" t="n">
        <f aca="false">IF(C8&gt;0,C10/C8,"")</f>
        <v>1</v>
      </c>
      <c r="D11" s="39" t="n">
        <f aca="false">IF(D8&gt;0,D10/D8,"")</f>
        <v>1</v>
      </c>
    </row>
    <row r="12" customFormat="false" ht="15" hidden="false" customHeight="false" outlineLevel="0" collapsed="false">
      <c r="A12" s="34" t="s">
        <v>72</v>
      </c>
      <c r="B12" s="35" t="n">
        <f aca="false">MAX('Projections Mensuelles'!B23:M23)</f>
        <v>12600</v>
      </c>
      <c r="C12" s="35" t="n">
        <f aca="false">MAX('Projections Mensuelles'!N23:Y23)</f>
        <v>60600</v>
      </c>
      <c r="D12" s="35" t="n">
        <f aca="false">MAX('Projections Mensuelles'!Z23:AK23)</f>
        <v>108600</v>
      </c>
    </row>
    <row r="13" customFormat="false" ht="15" hidden="false" customHeight="false" outlineLevel="0" collapsed="false">
      <c r="A13" s="36" t="s">
        <v>73</v>
      </c>
      <c r="B13" s="37" t="n">
        <f aca="false">MAX('Projections Mensuelles'!B25:M25)</f>
        <v>6030</v>
      </c>
      <c r="C13" s="37" t="n">
        <f aca="false">MAX('Projections Mensuelles'!N25:Y25)</f>
        <v>6030</v>
      </c>
      <c r="D13" s="37" t="n">
        <f aca="false">MAX('Projections Mensuelles'!Z25:AK25)</f>
        <v>6030</v>
      </c>
    </row>
    <row r="14" customFormat="false" ht="15" hidden="false" customHeight="false" outlineLevel="0" collapsed="false">
      <c r="A14" s="34" t="s">
        <v>61</v>
      </c>
      <c r="B14" s="40" t="n">
        <f aca="false">MAX('Projections Mensuelles'!B26:M26)</f>
        <v>0</v>
      </c>
      <c r="C14" s="40" t="n">
        <f aca="false">MAX('Projections Mensuelles'!N26:Y26)</f>
        <v>0</v>
      </c>
      <c r="D14" s="40" t="n">
        <f aca="false">MAX('Projections Mensuelles'!Z26:AK26)</f>
        <v>0</v>
      </c>
    </row>
    <row r="16" customFormat="false" ht="15" hidden="false" customHeight="false" outlineLevel="0" collapsed="false">
      <c r="A16" s="0" t="s">
        <v>74</v>
      </c>
      <c r="B16" s="0" t="s">
        <v>44</v>
      </c>
      <c r="C16" s="0" t="s">
        <v>75</v>
      </c>
      <c r="D16" s="0" t="s">
        <v>55</v>
      </c>
    </row>
    <row r="17" customFormat="false" ht="15" hidden="false" customHeight="false" outlineLevel="0" collapsed="false">
      <c r="A17" s="41" t="s">
        <v>76</v>
      </c>
      <c r="B17" s="42" t="n">
        <f aca="false">'Projections Mensuelles'!G8</f>
        <v>12663</v>
      </c>
      <c r="C17" s="43" t="n">
        <f aca="false">'Projections Mensuelles'!G6</f>
        <v>42</v>
      </c>
      <c r="D17" s="42" t="n">
        <f aca="false">'Projections Mensuelles'!G20</f>
        <v>13929.3</v>
      </c>
    </row>
    <row r="18" customFormat="false" ht="15" hidden="false" customHeight="false" outlineLevel="0" collapsed="false">
      <c r="A18" s="41" t="s">
        <v>77</v>
      </c>
      <c r="B18" s="42" t="n">
        <f aca="false">'Projections Mensuelles'!M8</f>
        <v>28341</v>
      </c>
      <c r="C18" s="43" t="n">
        <f aca="false">'Projections Mensuelles'!M6</f>
        <v>94</v>
      </c>
      <c r="D18" s="42" t="n">
        <f aca="false">'Projections Mensuelles'!M20</f>
        <v>31175.1</v>
      </c>
    </row>
    <row r="19" customFormat="false" ht="15" hidden="false" customHeight="false" outlineLevel="0" collapsed="false">
      <c r="A19" s="41" t="s">
        <v>78</v>
      </c>
      <c r="B19" s="42" t="n">
        <f aca="false">'Projections Mensuelles'!S8</f>
        <v>49446</v>
      </c>
      <c r="C19" s="43" t="n">
        <f aca="false">'Projections Mensuelles'!S6</f>
        <v>164</v>
      </c>
      <c r="D19" s="42" t="n">
        <f aca="false">'Projections Mensuelles'!S20</f>
        <v>54390.6</v>
      </c>
    </row>
    <row r="20" customFormat="false" ht="15" hidden="false" customHeight="false" outlineLevel="0" collapsed="false">
      <c r="A20" s="41" t="s">
        <v>79</v>
      </c>
      <c r="B20" s="42" t="n">
        <f aca="false">'Projections Mensuelles'!Y8</f>
        <v>65124</v>
      </c>
      <c r="C20" s="43" t="n">
        <f aca="false">'Projections Mensuelles'!Y6</f>
        <v>216</v>
      </c>
      <c r="D20" s="42" t="n">
        <f aca="false">'Projections Mensuelles'!Y20</f>
        <v>71636.4</v>
      </c>
    </row>
    <row r="21" customFormat="false" ht="15" hidden="false" customHeight="false" outlineLevel="0" collapsed="false">
      <c r="A21" s="41" t="s">
        <v>80</v>
      </c>
      <c r="B21" s="42" t="n">
        <f aca="false">'Projections Mensuelles'!AE8</f>
        <v>83214</v>
      </c>
      <c r="C21" s="43" t="n">
        <f aca="false">'Projections Mensuelles'!AE6</f>
        <v>276</v>
      </c>
      <c r="D21" s="42" t="n">
        <f aca="false">'Projections Mensuelles'!AE20</f>
        <v>91535.4</v>
      </c>
    </row>
    <row r="22" customFormat="false" ht="15" hidden="false" customHeight="false" outlineLevel="0" collapsed="false">
      <c r="A22" s="41" t="s">
        <v>81</v>
      </c>
      <c r="B22" s="42" t="n">
        <f aca="false">'Projections Mensuelles'!AK8</f>
        <v>96178.5</v>
      </c>
      <c r="C22" s="43" t="n">
        <f aca="false">'Projections Mensuelles'!AK6</f>
        <v>319</v>
      </c>
      <c r="D22" s="42" t="n">
        <f aca="false">'Projections Mensuelles'!AK20</f>
        <v>105796.35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22"/>
  </cols>
  <sheetData>
    <row r="1" customFormat="false" ht="15" hidden="false" customHeight="false" outlineLevel="0" collapsed="false">
      <c r="A1" s="44" t="s">
        <v>82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" hidden="false" customHeight="false" outlineLevel="0" collapsed="false">
      <c r="A2" s="45" t="s">
        <v>83</v>
      </c>
      <c r="B2" s="45"/>
      <c r="C2" s="45"/>
      <c r="D2" s="45"/>
      <c r="E2" s="45"/>
      <c r="F2" s="45"/>
      <c r="G2" s="45"/>
      <c r="H2" s="45"/>
      <c r="I2" s="45"/>
      <c r="J2" s="45"/>
    </row>
    <row r="4" customFormat="false" ht="39.75" hidden="false" customHeight="true" outlineLevel="0" collapsed="false">
      <c r="A4" s="46" t="s">
        <v>63</v>
      </c>
      <c r="B4" s="5" t="s">
        <v>84</v>
      </c>
      <c r="C4" s="47" t="s">
        <v>85</v>
      </c>
      <c r="D4" s="48" t="s">
        <v>86</v>
      </c>
      <c r="E4" s="49" t="s">
        <v>87</v>
      </c>
      <c r="F4" s="50" t="s">
        <v>88</v>
      </c>
    </row>
    <row r="5" customFormat="false" ht="15" hidden="false" customHeight="false" outlineLevel="0" collapsed="false">
      <c r="A5" s="51" t="s">
        <v>89</v>
      </c>
      <c r="B5" s="52"/>
      <c r="C5" s="53"/>
      <c r="D5" s="54"/>
      <c r="E5" s="55"/>
      <c r="F5" s="55"/>
    </row>
    <row r="6" customFormat="false" ht="15" hidden="false" customHeight="false" outlineLevel="0" collapsed="false">
      <c r="A6" s="22" t="s">
        <v>90</v>
      </c>
      <c r="B6" s="52" t="n">
        <v>149</v>
      </c>
      <c r="C6" s="53" t="n">
        <v>119</v>
      </c>
      <c r="D6" s="54" t="n">
        <v>164</v>
      </c>
      <c r="E6" s="55"/>
      <c r="F6" s="55"/>
    </row>
    <row r="7" customFormat="false" ht="15" hidden="false" customHeight="false" outlineLevel="0" collapsed="false">
      <c r="A7" s="22" t="s">
        <v>91</v>
      </c>
      <c r="B7" s="52" t="n">
        <v>349</v>
      </c>
      <c r="C7" s="53" t="n">
        <v>279</v>
      </c>
      <c r="D7" s="54" t="n">
        <v>384</v>
      </c>
      <c r="E7" s="55"/>
      <c r="F7" s="55"/>
    </row>
    <row r="8" customFormat="false" ht="15" hidden="false" customHeight="false" outlineLevel="0" collapsed="false">
      <c r="A8" s="22" t="s">
        <v>92</v>
      </c>
      <c r="B8" s="52" t="n">
        <v>699</v>
      </c>
      <c r="C8" s="53" t="n">
        <v>559</v>
      </c>
      <c r="D8" s="54" t="n">
        <v>769</v>
      </c>
      <c r="E8" s="55"/>
      <c r="F8" s="55"/>
    </row>
    <row r="9" customFormat="false" ht="15" hidden="false" customHeight="false" outlineLevel="0" collapsed="false">
      <c r="A9" s="22" t="s">
        <v>93</v>
      </c>
      <c r="B9" s="52" t="s">
        <v>94</v>
      </c>
      <c r="C9" s="53" t="s">
        <v>95</v>
      </c>
      <c r="D9" s="54" t="s">
        <v>96</v>
      </c>
      <c r="E9" s="55"/>
      <c r="F9" s="55"/>
    </row>
    <row r="10" customFormat="false" ht="15" hidden="false" customHeight="false" outlineLevel="0" collapsed="false">
      <c r="A10" s="22" t="s">
        <v>97</v>
      </c>
      <c r="B10" s="52" t="n">
        <v>249</v>
      </c>
      <c r="C10" s="53" t="n">
        <v>199</v>
      </c>
      <c r="D10" s="54" t="n">
        <v>274</v>
      </c>
      <c r="E10" s="55"/>
      <c r="F10" s="55"/>
    </row>
    <row r="11" customFormat="false" ht="15" hidden="false" customHeight="false" outlineLevel="0" collapsed="false">
      <c r="A11" s="22" t="s">
        <v>98</v>
      </c>
      <c r="B11" s="52" t="s">
        <v>99</v>
      </c>
      <c r="C11" s="53" t="s">
        <v>100</v>
      </c>
      <c r="D11" s="54" t="s">
        <v>101</v>
      </c>
      <c r="E11" s="55"/>
      <c r="F11" s="55"/>
    </row>
    <row r="12" customFormat="false" ht="15" hidden="false" customHeight="false" outlineLevel="0" collapsed="false">
      <c r="A12" s="22" t="s">
        <v>102</v>
      </c>
      <c r="B12" s="52" t="n">
        <v>1500</v>
      </c>
      <c r="C12" s="53" t="n">
        <v>2000</v>
      </c>
      <c r="D12" s="54" t="n">
        <v>1200</v>
      </c>
      <c r="E12" s="55"/>
      <c r="F12" s="55"/>
    </row>
    <row r="13" customFormat="false" ht="15" hidden="false" customHeight="false" outlineLevel="0" collapsed="false">
      <c r="A13" s="22" t="s">
        <v>103</v>
      </c>
      <c r="B13" s="52" t="n">
        <v>8</v>
      </c>
      <c r="C13" s="53" t="n">
        <v>5</v>
      </c>
      <c r="D13" s="54" t="n">
        <v>12</v>
      </c>
      <c r="E13" s="55"/>
      <c r="F13" s="55"/>
    </row>
    <row r="14" customFormat="false" ht="15" hidden="false" customHeight="false" outlineLevel="0" collapsed="false">
      <c r="A14" s="51" t="s">
        <v>104</v>
      </c>
      <c r="B14" s="52"/>
      <c r="C14" s="53"/>
      <c r="D14" s="54"/>
      <c r="E14" s="55"/>
      <c r="F14" s="55"/>
    </row>
    <row r="15" customFormat="false" ht="15" hidden="false" customHeight="false" outlineLevel="0" collapsed="false">
      <c r="A15" s="22" t="s">
        <v>105</v>
      </c>
      <c r="B15" s="52" t="n">
        <v>500</v>
      </c>
      <c r="C15" s="53" t="n">
        <v>280</v>
      </c>
      <c r="D15" s="54" t="n">
        <v>750</v>
      </c>
      <c r="E15" s="55"/>
      <c r="F15" s="55"/>
    </row>
    <row r="16" customFormat="false" ht="15" hidden="false" customHeight="false" outlineLevel="0" collapsed="false">
      <c r="A16" s="22" t="s">
        <v>106</v>
      </c>
      <c r="B16" s="52" t="n">
        <v>124500</v>
      </c>
      <c r="C16" s="53" t="n">
        <v>55720</v>
      </c>
      <c r="D16" s="54" t="n">
        <v>205500</v>
      </c>
      <c r="E16" s="55"/>
      <c r="F16" s="55"/>
    </row>
    <row r="17" customFormat="false" ht="15" hidden="false" customHeight="false" outlineLevel="0" collapsed="false">
      <c r="A17" s="22" t="s">
        <v>107</v>
      </c>
      <c r="B17" s="52" t="s">
        <v>108</v>
      </c>
      <c r="C17" s="53" t="s">
        <v>109</v>
      </c>
      <c r="D17" s="54" t="s">
        <v>110</v>
      </c>
      <c r="E17" s="55"/>
      <c r="F17" s="55"/>
    </row>
    <row r="18" customFormat="false" ht="15" hidden="false" customHeight="false" outlineLevel="0" collapsed="false">
      <c r="A18" s="22" t="s">
        <v>111</v>
      </c>
      <c r="B18" s="52" t="s">
        <v>112</v>
      </c>
      <c r="C18" s="53" t="s">
        <v>113</v>
      </c>
      <c r="D18" s="54" t="s">
        <v>114</v>
      </c>
      <c r="E18" s="55"/>
      <c r="F18" s="55"/>
    </row>
    <row r="19" customFormat="false" ht="15" hidden="false" customHeight="false" outlineLevel="0" collapsed="false">
      <c r="A19" s="22" t="s">
        <v>115</v>
      </c>
      <c r="B19" s="52" t="s">
        <v>116</v>
      </c>
      <c r="C19" s="53" t="s">
        <v>117</v>
      </c>
      <c r="D19" s="54" t="s">
        <v>118</v>
      </c>
      <c r="E19" s="55"/>
      <c r="F19" s="55"/>
    </row>
    <row r="20" customFormat="false" ht="15" hidden="false" customHeight="false" outlineLevel="0" collapsed="false">
      <c r="A20" s="22" t="s">
        <v>61</v>
      </c>
      <c r="B20" s="52" t="s">
        <v>119</v>
      </c>
      <c r="C20" s="53" t="s">
        <v>120</v>
      </c>
      <c r="D20" s="54" t="s">
        <v>121</v>
      </c>
      <c r="E20" s="55"/>
      <c r="F20" s="55"/>
    </row>
    <row r="23" customFormat="false" ht="15" hidden="false" customHeight="false" outlineLevel="0" collapsed="false">
      <c r="A23" s="45" t="s">
        <v>122</v>
      </c>
      <c r="B23" s="45"/>
      <c r="C23" s="45"/>
      <c r="D23" s="45"/>
      <c r="E23" s="45"/>
      <c r="F23" s="45"/>
    </row>
  </sheetData>
  <mergeCells count="3">
    <mergeCell ref="A1:J1"/>
    <mergeCell ref="A2:J2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9" t="s">
        <v>123</v>
      </c>
      <c r="B1" s="19"/>
      <c r="C1" s="19"/>
      <c r="D1" s="19"/>
      <c r="E1" s="19"/>
      <c r="F1" s="19"/>
    </row>
    <row r="3" customFormat="false" ht="15" hidden="false" customHeight="false" outlineLevel="0" collapsed="false">
      <c r="A3" s="3" t="s">
        <v>124</v>
      </c>
      <c r="B3" s="3"/>
      <c r="C3" s="3"/>
      <c r="D3" s="3"/>
    </row>
    <row r="4" customFormat="false" ht="15" hidden="false" customHeight="false" outlineLevel="0" collapsed="false">
      <c r="A4" s="14" t="s">
        <v>125</v>
      </c>
      <c r="B4" s="17" t="n">
        <f aca="false">Hypothèses!B37</f>
        <v>301.5</v>
      </c>
      <c r="C4" s="20"/>
    </row>
    <row r="5" customFormat="false" ht="15" hidden="false" customHeight="false" outlineLevel="0" collapsed="false">
      <c r="A5" s="14" t="s">
        <v>126</v>
      </c>
      <c r="B5" s="17" t="n">
        <f aca="false">Hypothèses!B37*12</f>
        <v>3618</v>
      </c>
      <c r="C5" s="20"/>
    </row>
    <row r="7" customFormat="false" ht="15" hidden="false" customHeight="false" outlineLevel="0" collapsed="false">
      <c r="A7" s="3" t="s">
        <v>127</v>
      </c>
      <c r="B7" s="3"/>
      <c r="C7" s="3"/>
      <c r="D7" s="3"/>
    </row>
    <row r="8" customFormat="false" ht="15" hidden="false" customHeight="false" outlineLevel="0" collapsed="false">
      <c r="A8" s="14" t="s">
        <v>102</v>
      </c>
      <c r="B8" s="17" t="n">
        <f aca="false">Hypothèses!C22</f>
        <v>0</v>
      </c>
      <c r="C8" s="20"/>
    </row>
    <row r="9" customFormat="false" ht="15" hidden="false" customHeight="false" outlineLevel="0" collapsed="false">
      <c r="A9" s="14" t="s">
        <v>128</v>
      </c>
      <c r="B9" s="56" t="n">
        <f aca="false">IF(Hypothèses!B37&gt;0,Hypothèses!C22/Hypothèses!B37,"")</f>
        <v>0</v>
      </c>
      <c r="C9" s="20"/>
    </row>
    <row r="11" customFormat="false" ht="15" hidden="false" customHeight="false" outlineLevel="0" collapsed="false">
      <c r="A11" s="3" t="s">
        <v>129</v>
      </c>
      <c r="B11" s="3"/>
      <c r="C11" s="3"/>
      <c r="D11" s="3"/>
    </row>
    <row r="12" customFormat="false" ht="15" hidden="false" customHeight="false" outlineLevel="0" collapsed="false">
      <c r="A12" s="14" t="s">
        <v>130</v>
      </c>
      <c r="B12" s="57" t="n">
        <f aca="false">Hypothèses!B17</f>
        <v>0.05</v>
      </c>
      <c r="C12" s="20"/>
    </row>
    <row r="13" customFormat="false" ht="15" hidden="false" customHeight="false" outlineLevel="0" collapsed="false">
      <c r="A13" s="14" t="s">
        <v>131</v>
      </c>
      <c r="B13" s="56" t="n">
        <f aca="false">IF(Hypothèses!B17&gt;0,1/Hypothèses!B17,"")</f>
        <v>20</v>
      </c>
      <c r="C13" s="20"/>
    </row>
    <row r="14" customFormat="false" ht="15" hidden="false" customHeight="false" outlineLevel="0" collapsed="false">
      <c r="A14" s="14" t="s">
        <v>132</v>
      </c>
      <c r="B14" s="58" t="n">
        <f aca="false">IF(Hypothèses!B17&gt;0,1/Hypothèses!B17/12,"")</f>
        <v>1.66666666666667</v>
      </c>
      <c r="C14" s="20"/>
    </row>
    <row r="16" customFormat="false" ht="15" hidden="false" customHeight="false" outlineLevel="0" collapsed="false">
      <c r="A16" s="3" t="s">
        <v>133</v>
      </c>
      <c r="B16" s="3"/>
      <c r="C16" s="3"/>
      <c r="D16" s="3"/>
    </row>
    <row r="17" customFormat="false" ht="15" hidden="false" customHeight="false" outlineLevel="0" collapsed="false">
      <c r="A17" s="14" t="s">
        <v>134</v>
      </c>
      <c r="B17" s="17" t="n">
        <f aca="false">IF(Hypothèses!B17&gt;0,Hypothèses!B37/Hypothèses!B17,"")</f>
        <v>6030</v>
      </c>
      <c r="C17" s="20"/>
    </row>
    <row r="18" customFormat="false" ht="15" hidden="false" customHeight="false" outlineLevel="0" collapsed="false">
      <c r="A18" s="14" t="s">
        <v>135</v>
      </c>
      <c r="B18" s="17" t="n">
        <f aca="false">IF(Hypothèses!B17&gt;0,(Hypothèses!B37-Hypothèses!B37*0.05)/Hypothèses!B17,"")</f>
        <v>5728.5</v>
      </c>
      <c r="C18" s="20"/>
    </row>
    <row r="19" customFormat="false" ht="15" hidden="false" customHeight="false" outlineLevel="0" collapsed="false">
      <c r="A19" s="14" t="s">
        <v>61</v>
      </c>
      <c r="B19" s="59" t="str">
        <f aca="false">IF(Hypothèses!C22&gt;0,IF(Hypothèses!B17&gt;0,Hypothèses!B37/Hypothèses!B17/Hypothèses!C22,""),"")</f>
        <v/>
      </c>
      <c r="C19" s="20"/>
    </row>
    <row r="20" customFormat="false" ht="15" hidden="false" customHeight="false" outlineLevel="0" collapsed="false">
      <c r="A20" s="14" t="s">
        <v>136</v>
      </c>
      <c r="B20" s="17" t="n">
        <f aca="false">Hypothèses!B37*(1-0.05)-Hypothèses!C23*SUMPRODUCT(Hypothèses!B7:B9,Hypothèses!F7:F9)</f>
        <v>286.425</v>
      </c>
      <c r="C20" s="20"/>
    </row>
  </sheetData>
  <mergeCells count="5">
    <mergeCell ref="A1:F1"/>
    <mergeCell ref="A3:D3"/>
    <mergeCell ref="A7:D7"/>
    <mergeCell ref="A11:D11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2026-03-10T10:40:32Z</dcterms:created>
  <dc:creator>openpyxl</dc:creator>
  <dc:description/>
  <dc:language>en-US</dc:language>
  <cp:lastModifiedBy/>
  <dcterms:modified xsi:type="dcterms:W3CDTF">2026-03-10T10:40:40Z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